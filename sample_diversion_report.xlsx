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ugust 202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<sst xmlns="http://schemas.openxmlformats.org/spreadsheetml/2006/main" count="346" uniqueCount="143">
  <si>
    <t xml:space="preserve">WASTE DIVERSION REPORT</t>
  </si>
  <si>
    <t xml:space="preserve">August 2026 — Meridian Pediatric Tower (sample data — names and figures fictional)</t>
  </si>
  <si>
    <t xml:space="preserve">Project:</t>
  </si>
  <si>
    <t xml:space="preserve">Meridian Pediatric Tower</t>
  </si>
  <si>
    <t xml:space="preserve">LEED:</t>
  </si>
  <si>
    <t xml:space="preserve">v4 • Target 75%</t>
  </si>
  <si>
    <t xml:space="preserve">GC / Client:</t>
  </si>
  <si>
    <t xml:space="preserve">Caprock Builders</t>
  </si>
  <si>
    <t xml:space="preserve">Hauler:</t>
  </si>
  <si>
    <t xml:space="preserve">Caprock Site Services</t>
  </si>
  <si>
    <t xml:space="preserve">Location:</t>
  </si>
  <si>
    <t xml:space="preserve">4800 Corridor Pkwy, Dallas TX</t>
  </si>
  <si>
    <t xml:space="preserve">Recycling Facility:</t>
  </si>
  <si>
    <t xml:space="preserve">Metropolitan Recycling, Dallas TX</t>
  </si>
  <si>
    <t xml:space="preserve">TCEQ:</t>
  </si>
  <si>
    <t xml:space="preserve">Registration on file</t>
  </si>
  <si>
    <t xml:space="preserve">Contact:</t>
  </si>
  <si>
    <t xml:space="preserve">office@metropolitanrecycling.example</t>
  </si>
  <si>
    <t xml:space="preserve">Date</t>
  </si>
  <si>
    <t xml:space="preserve">Ticket No</t>
  </si>
  <si>
    <t xml:space="preserve">Zone</t>
  </si>
  <si>
    <t xml:space="preserve">Gross (lbs)</t>
  </si>
  <si>
    <t xml:space="preserve">Gross (NT)</t>
  </si>
  <si>
    <t xml:space="preserve">Tare (lbs)</t>
  </si>
  <si>
    <t xml:space="preserve">Tare (NT)</t>
  </si>
  <si>
    <t xml:space="preserve">Net (lbs)</t>
  </si>
  <si>
    <t xml:space="preserve">Tons</t>
  </si>
  <si>
    <t xml:space="preserve">Div %</t>
  </si>
  <si>
    <t xml:space="preserve">Diverted (T)</t>
  </si>
  <si>
    <t xml:space="preserve">Wood %</t>
  </si>
  <si>
    <t xml:space="preserve">Wood (T)</t>
  </si>
  <si>
    <t xml:space="preserve">Gypsum %</t>
  </si>
  <si>
    <t xml:space="preserve">Gypsum (T)</t>
  </si>
  <si>
    <t xml:space="preserve">Plastic %</t>
  </si>
  <si>
    <t xml:space="preserve">Plastic (T)</t>
  </si>
  <si>
    <t xml:space="preserve">OCC %</t>
  </si>
  <si>
    <t xml:space="preserve">OCC (T)</t>
  </si>
  <si>
    <t xml:space="preserve">Metal %</t>
  </si>
  <si>
    <t xml:space="preserve">Metal (T)</t>
  </si>
  <si>
    <t xml:space="preserve">Concrete %</t>
  </si>
  <si>
    <t xml:space="preserve">Concrete (T)</t>
  </si>
  <si>
    <t xml:space="preserve">Block %</t>
  </si>
  <si>
    <t xml:space="preserve">Block (T)</t>
  </si>
  <si>
    <t xml:space="preserve">Tare Source</t>
  </si>
  <si>
    <t xml:space="preserve">Photo</t>
  </si>
  <si>
    <t xml:space="preserve">8/1/2026</t>
  </si>
  <si>
    <t xml:space="preserve">91249</t>
  </si>
  <si>
    <t xml:space="preserve">D</t>
  </si>
  <si>
    <t xml:space="preserve">Measured</t>
  </si>
  <si>
    <t xml:space="preserve">View Photo</t>
  </si>
  <si>
    <t xml:space="preserve">91251</t>
  </si>
  <si>
    <t xml:space="preserve">B</t>
  </si>
  <si>
    <t xml:space="preserve">8/2/2026</t>
  </si>
  <si>
    <t xml:space="preserve">91260</t>
  </si>
  <si>
    <t xml:space="preserve">A</t>
  </si>
  <si>
    <t xml:space="preserve">91262</t>
  </si>
  <si>
    <t xml:space="preserve">DX-01004</t>
  </si>
  <si>
    <t xml:space="preserve">Estimated</t>
  </si>
  <si>
    <t xml:space="preserve">91268</t>
  </si>
  <si>
    <t xml:space="preserve">91269</t>
  </si>
  <si>
    <t xml:space="preserve">91276</t>
  </si>
  <si>
    <t xml:space="preserve">91284</t>
  </si>
  <si>
    <t xml:space="preserve">8/3/2026</t>
  </si>
  <si>
    <t xml:space="preserve">91293</t>
  </si>
  <si>
    <t xml:space="preserve">91296</t>
  </si>
  <si>
    <t xml:space="preserve">91299</t>
  </si>
  <si>
    <t xml:space="preserve">91301</t>
  </si>
  <si>
    <t xml:space="preserve">91306</t>
  </si>
  <si>
    <t xml:space="preserve">91309</t>
  </si>
  <si>
    <t xml:space="preserve">91313</t>
  </si>
  <si>
    <t xml:space="preserve">8/4/2026</t>
  </si>
  <si>
    <t xml:space="preserve">DX-01016</t>
  </si>
  <si>
    <t xml:space="preserve">91322</t>
  </si>
  <si>
    <t xml:space="preserve">91329</t>
  </si>
  <si>
    <t xml:space="preserve">91335</t>
  </si>
  <si>
    <t xml:space="preserve">91336</t>
  </si>
  <si>
    <t xml:space="preserve">91339</t>
  </si>
  <si>
    <t xml:space="preserve">91341</t>
  </si>
  <si>
    <t xml:space="preserve">DX-01023</t>
  </si>
  <si>
    <t xml:space="preserve">91350</t>
  </si>
  <si>
    <t xml:space="preserve">DX-01025</t>
  </si>
  <si>
    <t xml:space="preserve">91358</t>
  </si>
  <si>
    <t xml:space="preserve">91364</t>
  </si>
  <si>
    <t xml:space="preserve">91370</t>
  </si>
  <si>
    <t xml:space="preserve">8/5/2026</t>
  </si>
  <si>
    <t xml:space="preserve">DX-01029</t>
  </si>
  <si>
    <t xml:space="preserve">91374</t>
  </si>
  <si>
    <t xml:space="preserve">DX-01031</t>
  </si>
  <si>
    <t xml:space="preserve">8/6/2026</t>
  </si>
  <si>
    <t xml:space="preserve">91377</t>
  </si>
  <si>
    <t xml:space="preserve">C</t>
  </si>
  <si>
    <t xml:space="preserve">8/7/2026</t>
  </si>
  <si>
    <t xml:space="preserve">91386</t>
  </si>
  <si>
    <t xml:space="preserve">91390</t>
  </si>
  <si>
    <t xml:space="preserve">91399</t>
  </si>
  <si>
    <t xml:space="preserve">8/8/2026</t>
  </si>
  <si>
    <t xml:space="preserve">DX-01036</t>
  </si>
  <si>
    <t xml:space="preserve">8/9/2026</t>
  </si>
  <si>
    <t xml:space="preserve">91402</t>
  </si>
  <si>
    <t xml:space="preserve">91403</t>
  </si>
  <si>
    <t xml:space="preserve">8/10/2026</t>
  </si>
  <si>
    <t xml:space="preserve">91408</t>
  </si>
  <si>
    <t xml:space="preserve">91411</t>
  </si>
  <si>
    <t xml:space="preserve">8/11/2026</t>
  </si>
  <si>
    <t xml:space="preserve">DX-01041</t>
  </si>
  <si>
    <t xml:space="preserve">91418</t>
  </si>
  <si>
    <t xml:space="preserve">91422</t>
  </si>
  <si>
    <t xml:space="preserve">8/12/2026</t>
  </si>
  <si>
    <t xml:space="preserve">91426</t>
  </si>
  <si>
    <t xml:space="preserve">8/13/2026</t>
  </si>
  <si>
    <t xml:space="preserve">91428</t>
  </si>
  <si>
    <t xml:space="preserve">8/14/2026</t>
  </si>
  <si>
    <t xml:space="preserve">91430</t>
  </si>
  <si>
    <t xml:space="preserve">91438</t>
  </si>
  <si>
    <t xml:space="preserve">8/15/2026</t>
  </si>
  <si>
    <t xml:space="preserve">91447</t>
  </si>
  <si>
    <t xml:space="preserve">91450</t>
  </si>
  <si>
    <t xml:space="preserve">91457</t>
  </si>
  <si>
    <t xml:space="preserve">91462</t>
  </si>
  <si>
    <t xml:space="preserve">DX-01052</t>
  </si>
  <si>
    <t xml:space="preserve">91468</t>
  </si>
  <si>
    <t xml:space="preserve">8/16/2026</t>
  </si>
  <si>
    <t xml:space="preserve">91470</t>
  </si>
  <si>
    <t xml:space="preserve">91473</t>
  </si>
  <si>
    <t xml:space="preserve">DX-01056</t>
  </si>
  <si>
    <t xml:space="preserve">91475</t>
  </si>
  <si>
    <t xml:space="preserve">TOTALS</t>
  </si>
  <si>
    <t xml:space="preserve">MONTH SUMMARY</t>
  </si>
  <si>
    <t xml:space="preserve">Total Tonnage</t>
  </si>
  <si>
    <t xml:space="preserve">Diverted from landfill (T)</t>
  </si>
  <si>
    <t xml:space="preserve">Landfill (T)</t>
  </si>
  <si>
    <t xml:space="preserve">Recycled Material %</t>
  </si>
  <si>
    <t xml:space="preserve">Tickets this month</t>
  </si>
  <si>
    <t xml:space="preserve">Photo coverage</t>
  </si>
  <si>
    <t xml:space="preserve">photos / tickets</t>
  </si>
  <si>
    <t xml:space="preserve">TONNAGE BY ZONE</t>
  </si>
  <si>
    <t xml:space="preserve">Tickets</t>
  </si>
  <si>
    <t xml:space="preserve">Total (T)</t>
  </si>
  <si>
    <t xml:space="preserve">Zone A</t>
  </si>
  <si>
    <t xml:space="preserve">Zone B</t>
  </si>
  <si>
    <t xml:space="preserve">Zone C</t>
  </si>
  <si>
    <t xml:space="preserve">Zone D</t>
  </si>
  <si>
    <t xml:space="preserve">Sample report — all names, tickets and tonnages are fictional. Weight-based only. Standard-tare loads are marked Estimated. Powered by DivertScan.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</si>
</sst>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00"/>
    <numFmt numFmtId="167" formatCode="0%"/>
    <numFmt numFmtId="168" formatCode="0.0%"/>
    <numFmt numFmtId="169" formatCode="0.00"/>
    <numFmt numFmtId="170" formatCode="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6191C"/>
      <name val="Arial"/>
      <family val="0"/>
      <charset val="1"/>
    </font>
    <font>
      <sz val="10"/>
      <color rgb="FF454E58"/>
      <name val="Arial"/>
      <family val="0"/>
      <charset val="1"/>
    </font>
    <font>
      <b val="true"/>
      <sz val="9"/>
      <color rgb="FF454E58"/>
      <name val="Arial"/>
      <family val="0"/>
      <charset val="1"/>
    </font>
    <font>
      <sz val="9"/>
      <color rgb="FF16191C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8"/>
      <color rgb="FF16191C"/>
      <name val="Arial"/>
      <family val="0"/>
      <charset val="1"/>
    </font>
    <font>
      <sz val="8"/>
      <color rgb="FF1E4630"/>
      <name val="Arial"/>
      <family val="0"/>
      <charset val="1"/>
    </font>
    <font>
      <sz val="8"/>
      <color rgb="FF454E58"/>
      <name val="Arial"/>
      <family val="0"/>
      <charset val="1"/>
    </font>
    <font>
      <sz val="8"/>
      <color rgb="FF7A2E2E"/>
      <name val="Arial"/>
      <family val="0"/>
      <charset val="1"/>
    </font>
    <font>
      <b val="true"/>
      <sz val="9"/>
      <color rgb="FF16191C"/>
      <name val="Arial"/>
      <family val="0"/>
      <charset val="1"/>
    </font>
    <font>
      <b val="true"/>
      <sz val="8"/>
      <color rgb="FF16191C"/>
      <name val="Arial"/>
      <family val="0"/>
      <charset val="1"/>
    </font>
    <font>
      <b val="true"/>
      <sz val="11"/>
      <color rgb="FF16191C"/>
      <name val="Arial"/>
      <family val="0"/>
      <charset val="1"/>
    </font>
    <font>
      <sz val="9"/>
      <color rgb="FF454E58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6191C"/>
        <bgColor rgb="FF000000"/>
      </patternFill>
    </fill>
    <fill>
      <patternFill patternType="solid">
        <fgColor rgb="FFE9E7E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6C2BA"/>
      </left>
      <right style="thin">
        <color rgb="FFC6C2BA"/>
      </right>
      <top style="thin">
        <color rgb="FFC6C2BA"/>
      </top>
      <bottom style="thin">
        <color rgb="FFC6C2B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2BA"/>
      <rgbColor rgb="FF808080"/>
      <rgbColor rgb="FF9999FF"/>
      <rgbColor rgb="FF993366"/>
      <rgbColor rgb="FFE9E7E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6191C"/>
      <rgbColor rgb="FF333300"/>
      <rgbColor rgb="FF7A2E2E"/>
      <rgbColor rgb="FF993366"/>
      <rgbColor rgb="FF454E58"/>
      <rgbColor rgb="FF1E46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6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8" min="7" style="0" width="9"/>
    <col collapsed="false" customWidth="true" hidden="false" outlineLevel="0" max="9" min="9" style="0" width="8"/>
    <col collapsed="false" customWidth="true" hidden="false" outlineLevel="0" max="10" min="10" style="0" width="7"/>
    <col collapsed="false" customWidth="true" hidden="false" outlineLevel="0" max="11" min="11" style="0" width="10"/>
    <col collapsed="false" customWidth="true" hidden="false" outlineLevel="0" max="25" min="12" style="0" width="8"/>
    <col collapsed="false" customWidth="true" hidden="false" outlineLevel="0" max="26" min="26" style="0" width="11"/>
    <col collapsed="false" customWidth="true" hidden="false" outlineLevel="0" max="27" min="27" style="0" width="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4" t="s">
        <v>3</v>
      </c>
      <c r="D3" s="3" t="s">
        <v>4</v>
      </c>
      <c r="E3" s="4" t="s">
        <v>5</v>
      </c>
    </row>
    <row r="4" customFormat="false" ht="15" hidden="false" customHeight="false" outlineLevel="0" collapsed="false">
      <c r="A4" s="3" t="s">
        <v>6</v>
      </c>
      <c r="B4" s="4" t="s">
        <v>7</v>
      </c>
      <c r="D4" s="3" t="s">
        <v>8</v>
      </c>
      <c r="E4" s="4" t="s">
        <v>9</v>
      </c>
    </row>
    <row r="5" customFormat="false" ht="15" hidden="false" customHeight="false" outlineLevel="0" collapsed="false">
      <c r="A5" s="3" t="s">
        <v>10</v>
      </c>
      <c r="B5" s="4" t="s">
        <v>11</v>
      </c>
      <c r="D5" s="3" t="s">
        <v>12</v>
      </c>
      <c r="E5" s="4" t="s">
        <v>13</v>
      </c>
    </row>
    <row r="6" customFormat="false" ht="15" hidden="false" customHeight="false" outlineLevel="0" collapsed="false">
      <c r="A6" s="3" t="s">
        <v>14</v>
      </c>
      <c r="B6" s="4" t="s">
        <v>15</v>
      </c>
      <c r="D6" s="3" t="s">
        <v>16</v>
      </c>
      <c r="E6" s="4" t="s">
        <v>17</v>
      </c>
    </row>
    <row r="8" customFormat="false" ht="15" hidden="false" customHeight="false" outlineLevel="0" collapsed="false">
      <c r="A8" s="5" t="s">
        <v>18</v>
      </c>
      <c r="B8" s="5" t="s">
        <v>19</v>
      </c>
      <c r="C8" s="5" t="s">
        <v>20</v>
      </c>
      <c r="D8" s="5" t="s">
        <v>21</v>
      </c>
      <c r="E8" s="5" t="s">
        <v>22</v>
      </c>
      <c r="F8" s="5" t="s">
        <v>23</v>
      </c>
      <c r="G8" s="5" t="s">
        <v>24</v>
      </c>
      <c r="H8" s="5" t="s">
        <v>25</v>
      </c>
      <c r="I8" s="5" t="s">
        <v>26</v>
      </c>
      <c r="J8" s="5" t="s">
        <v>27</v>
      </c>
      <c r="K8" s="5" t="s">
        <v>28</v>
      </c>
      <c r="L8" s="5" t="s">
        <v>29</v>
      </c>
      <c r="M8" s="5" t="s">
        <v>30</v>
      </c>
      <c r="N8" s="5" t="s">
        <v>31</v>
      </c>
      <c r="O8" s="5" t="s">
        <v>32</v>
      </c>
      <c r="P8" s="5" t="s">
        <v>33</v>
      </c>
      <c r="Q8" s="5" t="s">
        <v>34</v>
      </c>
      <c r="R8" s="5" t="s">
        <v>35</v>
      </c>
      <c r="S8" s="5" t="s">
        <v>36</v>
      </c>
      <c r="T8" s="5" t="s">
        <v>37</v>
      </c>
      <c r="U8" s="5" t="s">
        <v>38</v>
      </c>
      <c r="V8" s="5" t="s">
        <v>39</v>
      </c>
      <c r="W8" s="5" t="s">
        <v>40</v>
      </c>
      <c r="X8" s="5" t="s">
        <v>41</v>
      </c>
      <c r="Y8" s="5" t="s">
        <v>42</v>
      </c>
      <c r="Z8" s="5" t="s">
        <v>43</v>
      </c>
      <c r="AA8" s="5" t="s">
        <v>44</v>
      </c>
    </row>
    <row r="9" customFormat="false" ht="15" hidden="false" customHeight="false" outlineLevel="0" collapsed="false">
      <c r="A9" s="6" t="s">
        <v>45</v>
      </c>
      <c r="B9" s="6" t="s">
        <v>46</v>
      </c>
      <c r="C9" s="7" t="s">
        <v>47</v>
      </c>
      <c r="D9" s="8" t="n">
        <v>35820</v>
      </c>
      <c r="E9" s="9" t="n">
        <f aca="false">D9/2000</f>
        <v>17.91</v>
      </c>
      <c r="F9" s="8" t="n">
        <v>33440</v>
      </c>
      <c r="G9" s="9" t="n">
        <f aca="false">F9/2000</f>
        <v>16.72</v>
      </c>
      <c r="H9" s="8" t="n">
        <f aca="false">D9-F9</f>
        <v>2380</v>
      </c>
      <c r="I9" s="9" t="n">
        <f aca="false">H9/2000</f>
        <v>1.19</v>
      </c>
      <c r="J9" s="10" t="n">
        <f aca="false">L9+N9+P9+R9+T9+V9+X9</f>
        <v>1</v>
      </c>
      <c r="K9" s="9" t="n">
        <f aca="false">I9*J9</f>
        <v>1.19</v>
      </c>
      <c r="L9" s="10" t="n">
        <v>0</v>
      </c>
      <c r="M9" s="9" t="n">
        <f aca="false">I9*L9</f>
        <v>0</v>
      </c>
      <c r="N9" s="10" t="n">
        <v>0</v>
      </c>
      <c r="O9" s="9" t="n">
        <f aca="false">I9*N9</f>
        <v>0</v>
      </c>
      <c r="P9" s="10" t="n">
        <v>0.06</v>
      </c>
      <c r="Q9" s="9" t="n">
        <f aca="false">I9*P9</f>
        <v>0.0714</v>
      </c>
      <c r="R9" s="10" t="n">
        <v>0.13</v>
      </c>
      <c r="S9" s="9" t="n">
        <f aca="false">I9*R9</f>
        <v>0.1547</v>
      </c>
      <c r="T9" s="10" t="n">
        <v>0.81</v>
      </c>
      <c r="U9" s="9" t="n">
        <f aca="false">I9*T9</f>
        <v>0.9639</v>
      </c>
      <c r="V9" s="10" t="n">
        <v>0</v>
      </c>
      <c r="W9" s="9" t="n">
        <f aca="false">I9*V9</f>
        <v>0</v>
      </c>
      <c r="X9" s="10" t="n">
        <v>0</v>
      </c>
      <c r="Y9" s="9" t="n">
        <f aca="false">I9*X9</f>
        <v>0</v>
      </c>
      <c r="Z9" s="11" t="s">
        <v>48</v>
      </c>
      <c r="AA9" s="12" t="s">
        <v>49</v>
      </c>
    </row>
    <row r="10" customFormat="false" ht="15" hidden="false" customHeight="false" outlineLevel="0" collapsed="false">
      <c r="A10" s="6" t="s">
        <v>45</v>
      </c>
      <c r="B10" s="6" t="s">
        <v>50</v>
      </c>
      <c r="C10" s="7" t="s">
        <v>51</v>
      </c>
      <c r="D10" s="8" t="n">
        <v>34650</v>
      </c>
      <c r="E10" s="9" t="n">
        <f aca="false">D10/2000</f>
        <v>17.325</v>
      </c>
      <c r="F10" s="8" t="n">
        <v>32620</v>
      </c>
      <c r="G10" s="9" t="n">
        <f aca="false">F10/2000</f>
        <v>16.31</v>
      </c>
      <c r="H10" s="8" t="n">
        <f aca="false">D10-F10</f>
        <v>2030</v>
      </c>
      <c r="I10" s="9" t="n">
        <f aca="false">H10/2000</f>
        <v>1.015</v>
      </c>
      <c r="J10" s="10" t="n">
        <f aca="false">L10+N10+P10+R10+T10+V10+X10</f>
        <v>0.98</v>
      </c>
      <c r="K10" s="9" t="n">
        <f aca="false">I10*J10</f>
        <v>0.9947</v>
      </c>
      <c r="L10" s="10" t="n">
        <v>0.11</v>
      </c>
      <c r="M10" s="9" t="n">
        <f aca="false">I10*L10</f>
        <v>0.11165</v>
      </c>
      <c r="N10" s="10" t="n">
        <v>0</v>
      </c>
      <c r="O10" s="9" t="n">
        <f aca="false">I10*N10</f>
        <v>0</v>
      </c>
      <c r="P10" s="10" t="n">
        <v>0.06</v>
      </c>
      <c r="Q10" s="9" t="n">
        <f aca="false">I10*P10</f>
        <v>0.0609</v>
      </c>
      <c r="R10" s="10" t="n">
        <v>0.14</v>
      </c>
      <c r="S10" s="9" t="n">
        <f aca="false">I10*R10</f>
        <v>0.1421</v>
      </c>
      <c r="T10" s="10" t="n">
        <v>0.67</v>
      </c>
      <c r="U10" s="9" t="n">
        <f aca="false">I10*T10</f>
        <v>0.68005</v>
      </c>
      <c r="V10" s="10" t="n">
        <v>0</v>
      </c>
      <c r="W10" s="9" t="n">
        <f aca="false">I10*V10</f>
        <v>0</v>
      </c>
      <c r="X10" s="10" t="n">
        <v>0</v>
      </c>
      <c r="Y10" s="9" t="n">
        <f aca="false">I10*X10</f>
        <v>0</v>
      </c>
      <c r="Z10" s="11" t="s">
        <v>48</v>
      </c>
      <c r="AA10" s="12" t="s">
        <v>49</v>
      </c>
    </row>
    <row r="11" customFormat="false" ht="15" hidden="false" customHeight="false" outlineLevel="0" collapsed="false">
      <c r="A11" s="6" t="s">
        <v>52</v>
      </c>
      <c r="B11" s="6" t="s">
        <v>53</v>
      </c>
      <c r="C11" s="7" t="s">
        <v>54</v>
      </c>
      <c r="D11" s="8" t="n">
        <v>40210</v>
      </c>
      <c r="E11" s="9" t="n">
        <f aca="false">D11/2000</f>
        <v>20.105</v>
      </c>
      <c r="F11" s="8" t="n">
        <v>32620</v>
      </c>
      <c r="G11" s="9" t="n">
        <f aca="false">F11/2000</f>
        <v>16.31</v>
      </c>
      <c r="H11" s="8" t="n">
        <f aca="false">D11-F11</f>
        <v>7590</v>
      </c>
      <c r="I11" s="9" t="n">
        <f aca="false">H11/2000</f>
        <v>3.795</v>
      </c>
      <c r="J11" s="10" t="n">
        <f aca="false">L11+N11+P11+R11+T11+V11+X11</f>
        <v>0.96</v>
      </c>
      <c r="K11" s="9" t="n">
        <f aca="false">I11*J11</f>
        <v>3.6432</v>
      </c>
      <c r="L11" s="10" t="n">
        <v>0.06</v>
      </c>
      <c r="M11" s="9" t="n">
        <f aca="false">I11*L11</f>
        <v>0.2277</v>
      </c>
      <c r="N11" s="10" t="n">
        <v>0</v>
      </c>
      <c r="O11" s="9" t="n">
        <f aca="false">I11*N11</f>
        <v>0</v>
      </c>
      <c r="P11" s="10" t="n">
        <v>0.08</v>
      </c>
      <c r="Q11" s="9" t="n">
        <f aca="false">I11*P11</f>
        <v>0.3036</v>
      </c>
      <c r="R11" s="10" t="n">
        <v>0.08</v>
      </c>
      <c r="S11" s="9" t="n">
        <f aca="false">I11*R11</f>
        <v>0.3036</v>
      </c>
      <c r="T11" s="10" t="n">
        <v>0.74</v>
      </c>
      <c r="U11" s="9" t="n">
        <f aca="false">I11*T11</f>
        <v>2.8083</v>
      </c>
      <c r="V11" s="10" t="n">
        <v>0</v>
      </c>
      <c r="W11" s="9" t="n">
        <f aca="false">I11*V11</f>
        <v>0</v>
      </c>
      <c r="X11" s="10" t="n">
        <v>0</v>
      </c>
      <c r="Y11" s="9" t="n">
        <f aca="false">I11*X11</f>
        <v>0</v>
      </c>
      <c r="Z11" s="11" t="s">
        <v>48</v>
      </c>
      <c r="AA11" s="12" t="s">
        <v>49</v>
      </c>
    </row>
    <row r="12" customFormat="false" ht="15" hidden="false" customHeight="false" outlineLevel="0" collapsed="false">
      <c r="A12" s="6" t="s">
        <v>52</v>
      </c>
      <c r="B12" s="6" t="s">
        <v>55</v>
      </c>
      <c r="C12" s="7" t="s">
        <v>54</v>
      </c>
      <c r="D12" s="8" t="n">
        <v>35830</v>
      </c>
      <c r="E12" s="9" t="n">
        <f aca="false">D12/2000</f>
        <v>17.915</v>
      </c>
      <c r="F12" s="8" t="n">
        <v>33000</v>
      </c>
      <c r="G12" s="9" t="n">
        <f aca="false">F12/2000</f>
        <v>16.5</v>
      </c>
      <c r="H12" s="8" t="n">
        <f aca="false">D12-F12</f>
        <v>2830</v>
      </c>
      <c r="I12" s="9" t="n">
        <f aca="false">H12/2000</f>
        <v>1.415</v>
      </c>
      <c r="J12" s="10" t="n">
        <f aca="false">L12+N12+P12+R12+T12+V12+X12</f>
        <v>0.91</v>
      </c>
      <c r="K12" s="9" t="n">
        <f aca="false">I12*J12</f>
        <v>1.28765</v>
      </c>
      <c r="L12" s="10" t="n">
        <v>0.05</v>
      </c>
      <c r="M12" s="9" t="n">
        <f aca="false">I12*L12</f>
        <v>0.07075</v>
      </c>
      <c r="N12" s="10" t="n">
        <v>0</v>
      </c>
      <c r="O12" s="9" t="n">
        <f aca="false">I12*N12</f>
        <v>0</v>
      </c>
      <c r="P12" s="10" t="n">
        <v>0.02</v>
      </c>
      <c r="Q12" s="9" t="n">
        <f aca="false">I12*P12</f>
        <v>0.0283</v>
      </c>
      <c r="R12" s="10" t="n">
        <v>0.13</v>
      </c>
      <c r="S12" s="9" t="n">
        <f aca="false">I12*R12</f>
        <v>0.18395</v>
      </c>
      <c r="T12" s="10" t="n">
        <v>0.71</v>
      </c>
      <c r="U12" s="9" t="n">
        <f aca="false">I12*T12</f>
        <v>1.00465</v>
      </c>
      <c r="V12" s="10" t="n">
        <v>0</v>
      </c>
      <c r="W12" s="9" t="n">
        <f aca="false">I12*V12</f>
        <v>0</v>
      </c>
      <c r="X12" s="10" t="n">
        <v>0</v>
      </c>
      <c r="Y12" s="9" t="n">
        <f aca="false">I12*X12</f>
        <v>0</v>
      </c>
      <c r="Z12" s="11" t="s">
        <v>48</v>
      </c>
      <c r="AA12" s="12" t="s">
        <v>49</v>
      </c>
    </row>
    <row r="13" customFormat="false" ht="15" hidden="false" customHeight="false" outlineLevel="0" collapsed="false">
      <c r="A13" s="6" t="s">
        <v>52</v>
      </c>
      <c r="B13" s="6" t="s">
        <v>56</v>
      </c>
      <c r="C13" s="7" t="s">
        <v>54</v>
      </c>
      <c r="D13" s="8" t="n">
        <v>34590</v>
      </c>
      <c r="E13" s="9" t="n">
        <f aca="false">D13/2000</f>
        <v>17.295</v>
      </c>
      <c r="F13" s="8" t="n">
        <v>32540</v>
      </c>
      <c r="G13" s="9" t="n">
        <f aca="false">F13/2000</f>
        <v>16.27</v>
      </c>
      <c r="H13" s="8" t="n">
        <f aca="false">D13-F13</f>
        <v>2050</v>
      </c>
      <c r="I13" s="9" t="n">
        <f aca="false">H13/2000</f>
        <v>1.025</v>
      </c>
      <c r="J13" s="10" t="n">
        <f aca="false">L13+N13+P13+R13+T13+V13+X13</f>
        <v>0.64</v>
      </c>
      <c r="K13" s="9" t="n">
        <f aca="false">I13*J13</f>
        <v>0.656</v>
      </c>
      <c r="L13" s="10" t="n">
        <v>0.34</v>
      </c>
      <c r="M13" s="9" t="n">
        <f aca="false">I13*L13</f>
        <v>0.3485</v>
      </c>
      <c r="N13" s="10" t="n">
        <v>0</v>
      </c>
      <c r="O13" s="9" t="n">
        <f aca="false">I13*N13</f>
        <v>0</v>
      </c>
      <c r="P13" s="10" t="n">
        <v>0</v>
      </c>
      <c r="Q13" s="9" t="n">
        <f aca="false">I13*P13</f>
        <v>0</v>
      </c>
      <c r="R13" s="10" t="n">
        <v>0.16</v>
      </c>
      <c r="S13" s="9" t="n">
        <f aca="false">I13*R13</f>
        <v>0.164</v>
      </c>
      <c r="T13" s="10" t="n">
        <v>0.11</v>
      </c>
      <c r="U13" s="9" t="n">
        <f aca="false">I13*T13</f>
        <v>0.11275</v>
      </c>
      <c r="V13" s="10" t="n">
        <v>0.02</v>
      </c>
      <c r="W13" s="9" t="n">
        <f aca="false">I13*V13</f>
        <v>0.0205</v>
      </c>
      <c r="X13" s="10" t="n">
        <v>0.01</v>
      </c>
      <c r="Y13" s="9" t="n">
        <f aca="false">I13*X13</f>
        <v>0.01025</v>
      </c>
      <c r="Z13" s="13" t="s">
        <v>57</v>
      </c>
      <c r="AA13" s="12"/>
    </row>
    <row r="14" customFormat="false" ht="15" hidden="false" customHeight="false" outlineLevel="0" collapsed="false">
      <c r="A14" s="6" t="s">
        <v>52</v>
      </c>
      <c r="B14" s="6" t="s">
        <v>58</v>
      </c>
      <c r="C14" s="7" t="s">
        <v>54</v>
      </c>
      <c r="D14" s="8" t="n">
        <v>35530</v>
      </c>
      <c r="E14" s="9" t="n">
        <f aca="false">D14/2000</f>
        <v>17.765</v>
      </c>
      <c r="F14" s="8" t="n">
        <v>33000</v>
      </c>
      <c r="G14" s="9" t="n">
        <f aca="false">F14/2000</f>
        <v>16.5</v>
      </c>
      <c r="H14" s="8" t="n">
        <f aca="false">D14-F14</f>
        <v>2530</v>
      </c>
      <c r="I14" s="9" t="n">
        <f aca="false">H14/2000</f>
        <v>1.265</v>
      </c>
      <c r="J14" s="10" t="n">
        <f aca="false">L14+N14+P14+R14+T14+V14+X14</f>
        <v>0.9</v>
      </c>
      <c r="K14" s="9" t="n">
        <f aca="false">I14*J14</f>
        <v>1.1385</v>
      </c>
      <c r="L14" s="10" t="n">
        <v>0</v>
      </c>
      <c r="M14" s="9" t="n">
        <f aca="false">I14*L14</f>
        <v>0</v>
      </c>
      <c r="N14" s="10" t="n">
        <v>0</v>
      </c>
      <c r="O14" s="9" t="n">
        <f aca="false">I14*N14</f>
        <v>0</v>
      </c>
      <c r="P14" s="10" t="n">
        <v>0.03</v>
      </c>
      <c r="Q14" s="9" t="n">
        <f aca="false">I14*P14</f>
        <v>0.03795</v>
      </c>
      <c r="R14" s="10" t="n">
        <v>0.1</v>
      </c>
      <c r="S14" s="9" t="n">
        <f aca="false">I14*R14</f>
        <v>0.1265</v>
      </c>
      <c r="T14" s="10" t="n">
        <v>0.77</v>
      </c>
      <c r="U14" s="9" t="n">
        <f aca="false">I14*T14</f>
        <v>0.97405</v>
      </c>
      <c r="V14" s="10" t="n">
        <v>0</v>
      </c>
      <c r="W14" s="9" t="n">
        <f aca="false">I14*V14</f>
        <v>0</v>
      </c>
      <c r="X14" s="10" t="n">
        <v>0</v>
      </c>
      <c r="Y14" s="9" t="n">
        <f aca="false">I14*X14</f>
        <v>0</v>
      </c>
      <c r="Z14" s="11" t="s">
        <v>48</v>
      </c>
      <c r="AA14" s="12" t="s">
        <v>49</v>
      </c>
    </row>
    <row r="15" customFormat="false" ht="15" hidden="false" customHeight="false" outlineLevel="0" collapsed="false">
      <c r="A15" s="6" t="s">
        <v>52</v>
      </c>
      <c r="B15" s="6" t="s">
        <v>59</v>
      </c>
      <c r="C15" s="7" t="s">
        <v>54</v>
      </c>
      <c r="D15" s="8" t="n">
        <v>39130</v>
      </c>
      <c r="E15" s="9" t="n">
        <f aca="false">D15/2000</f>
        <v>19.565</v>
      </c>
      <c r="F15" s="8" t="n">
        <v>33200</v>
      </c>
      <c r="G15" s="9" t="n">
        <f aca="false">F15/2000</f>
        <v>16.6</v>
      </c>
      <c r="H15" s="8" t="n">
        <f aca="false">D15-F15</f>
        <v>5930</v>
      </c>
      <c r="I15" s="9" t="n">
        <f aca="false">H15/2000</f>
        <v>2.965</v>
      </c>
      <c r="J15" s="10" t="n">
        <f aca="false">L15+N15+P15+R15+T15+V15+X15</f>
        <v>1.09</v>
      </c>
      <c r="K15" s="9" t="n">
        <f aca="false">I15*J15</f>
        <v>3.23185</v>
      </c>
      <c r="L15" s="10" t="n">
        <v>0.12</v>
      </c>
      <c r="M15" s="9" t="n">
        <f aca="false">I15*L15</f>
        <v>0.3558</v>
      </c>
      <c r="N15" s="10" t="n">
        <v>0</v>
      </c>
      <c r="O15" s="9" t="n">
        <f aca="false">I15*N15</f>
        <v>0</v>
      </c>
      <c r="P15" s="10" t="n">
        <v>0.07</v>
      </c>
      <c r="Q15" s="9" t="n">
        <f aca="false">I15*P15</f>
        <v>0.20755</v>
      </c>
      <c r="R15" s="10" t="n">
        <v>0.09</v>
      </c>
      <c r="S15" s="9" t="n">
        <f aca="false">I15*R15</f>
        <v>0.26685</v>
      </c>
      <c r="T15" s="10" t="n">
        <v>0.81</v>
      </c>
      <c r="U15" s="9" t="n">
        <f aca="false">I15*T15</f>
        <v>2.40165</v>
      </c>
      <c r="V15" s="10" t="n">
        <v>0</v>
      </c>
      <c r="W15" s="9" t="n">
        <f aca="false">I15*V15</f>
        <v>0</v>
      </c>
      <c r="X15" s="10" t="n">
        <v>0</v>
      </c>
      <c r="Y15" s="9" t="n">
        <f aca="false">I15*X15</f>
        <v>0</v>
      </c>
      <c r="Z15" s="11" t="s">
        <v>48</v>
      </c>
      <c r="AA15" s="12" t="s">
        <v>49</v>
      </c>
    </row>
    <row r="16" customFormat="false" ht="15" hidden="false" customHeight="false" outlineLevel="0" collapsed="false">
      <c r="A16" s="6" t="s">
        <v>52</v>
      </c>
      <c r="B16" s="6" t="s">
        <v>60</v>
      </c>
      <c r="C16" s="7" t="s">
        <v>54</v>
      </c>
      <c r="D16" s="8" t="n">
        <v>41950</v>
      </c>
      <c r="E16" s="9" t="n">
        <f aca="false">D16/2000</f>
        <v>20.975</v>
      </c>
      <c r="F16" s="8" t="n">
        <v>33000</v>
      </c>
      <c r="G16" s="9" t="n">
        <f aca="false">F16/2000</f>
        <v>16.5</v>
      </c>
      <c r="H16" s="8" t="n">
        <f aca="false">D16-F16</f>
        <v>8950</v>
      </c>
      <c r="I16" s="9" t="n">
        <f aca="false">H16/2000</f>
        <v>4.475</v>
      </c>
      <c r="J16" s="10" t="n">
        <f aca="false">L16+N16+P16+R16+T16+V16+X16</f>
        <v>0.94</v>
      </c>
      <c r="K16" s="9" t="n">
        <f aca="false">I16*J16</f>
        <v>4.2065</v>
      </c>
      <c r="L16" s="10" t="n">
        <v>0.11</v>
      </c>
      <c r="M16" s="9" t="n">
        <f aca="false">I16*L16</f>
        <v>0.49225</v>
      </c>
      <c r="N16" s="10" t="n">
        <v>0</v>
      </c>
      <c r="O16" s="9" t="n">
        <f aca="false">I16*N16</f>
        <v>0</v>
      </c>
      <c r="P16" s="10" t="n">
        <v>0.03</v>
      </c>
      <c r="Q16" s="9" t="n">
        <f aca="false">I16*P16</f>
        <v>0.13425</v>
      </c>
      <c r="R16" s="10" t="n">
        <v>0.11</v>
      </c>
      <c r="S16" s="9" t="n">
        <f aca="false">I16*R16</f>
        <v>0.49225</v>
      </c>
      <c r="T16" s="10" t="n">
        <v>0.69</v>
      </c>
      <c r="U16" s="9" t="n">
        <f aca="false">I16*T16</f>
        <v>3.08775</v>
      </c>
      <c r="V16" s="10" t="n">
        <v>0</v>
      </c>
      <c r="W16" s="9" t="n">
        <f aca="false">I16*V16</f>
        <v>0</v>
      </c>
      <c r="X16" s="10" t="n">
        <v>0</v>
      </c>
      <c r="Y16" s="9" t="n">
        <f aca="false">I16*X16</f>
        <v>0</v>
      </c>
      <c r="Z16" s="11" t="s">
        <v>48</v>
      </c>
      <c r="AA16" s="12" t="s">
        <v>49</v>
      </c>
    </row>
    <row r="17" customFormat="false" ht="15" hidden="false" customHeight="false" outlineLevel="0" collapsed="false">
      <c r="A17" s="6" t="s">
        <v>52</v>
      </c>
      <c r="B17" s="6" t="s">
        <v>61</v>
      </c>
      <c r="C17" s="7" t="s">
        <v>54</v>
      </c>
      <c r="D17" s="8" t="n">
        <v>37190</v>
      </c>
      <c r="E17" s="9" t="n">
        <f aca="false">D17/2000</f>
        <v>18.595</v>
      </c>
      <c r="F17" s="8" t="n">
        <v>33440</v>
      </c>
      <c r="G17" s="9" t="n">
        <f aca="false">F17/2000</f>
        <v>16.72</v>
      </c>
      <c r="H17" s="8" t="n">
        <f aca="false">D17-F17</f>
        <v>3750</v>
      </c>
      <c r="I17" s="9" t="n">
        <f aca="false">H17/2000</f>
        <v>1.875</v>
      </c>
      <c r="J17" s="10" t="n">
        <f aca="false">L17+N17+P17+R17+T17+V17+X17</f>
        <v>1</v>
      </c>
      <c r="K17" s="9" t="n">
        <f aca="false">I17*J17</f>
        <v>1.875</v>
      </c>
      <c r="L17" s="10" t="n">
        <v>0.02</v>
      </c>
      <c r="M17" s="9" t="n">
        <f aca="false">I17*L17</f>
        <v>0.0375</v>
      </c>
      <c r="N17" s="10" t="n">
        <v>0</v>
      </c>
      <c r="O17" s="9" t="n">
        <f aca="false">I17*N17</f>
        <v>0</v>
      </c>
      <c r="P17" s="10" t="n">
        <v>0.07</v>
      </c>
      <c r="Q17" s="9" t="n">
        <f aca="false">I17*P17</f>
        <v>0.13125</v>
      </c>
      <c r="R17" s="10" t="n">
        <v>0.09</v>
      </c>
      <c r="S17" s="9" t="n">
        <f aca="false">I17*R17</f>
        <v>0.16875</v>
      </c>
      <c r="T17" s="10" t="n">
        <v>0.82</v>
      </c>
      <c r="U17" s="9" t="n">
        <f aca="false">I17*T17</f>
        <v>1.5375</v>
      </c>
      <c r="V17" s="10" t="n">
        <v>0</v>
      </c>
      <c r="W17" s="9" t="n">
        <f aca="false">I17*V17</f>
        <v>0</v>
      </c>
      <c r="X17" s="10" t="n">
        <v>0</v>
      </c>
      <c r="Y17" s="9" t="n">
        <f aca="false">I17*X17</f>
        <v>0</v>
      </c>
      <c r="Z17" s="11" t="s">
        <v>48</v>
      </c>
      <c r="AA17" s="12" t="s">
        <v>49</v>
      </c>
    </row>
    <row r="18" customFormat="false" ht="15" hidden="false" customHeight="false" outlineLevel="0" collapsed="false">
      <c r="A18" s="6" t="s">
        <v>62</v>
      </c>
      <c r="B18" s="6" t="s">
        <v>63</v>
      </c>
      <c r="C18" s="7" t="s">
        <v>47</v>
      </c>
      <c r="D18" s="8" t="n">
        <v>40010</v>
      </c>
      <c r="E18" s="9" t="n">
        <f aca="false">D18/2000</f>
        <v>20.005</v>
      </c>
      <c r="F18" s="8" t="n">
        <v>33320</v>
      </c>
      <c r="G18" s="9" t="n">
        <f aca="false">F18/2000</f>
        <v>16.66</v>
      </c>
      <c r="H18" s="8" t="n">
        <f aca="false">D18-F18</f>
        <v>6690</v>
      </c>
      <c r="I18" s="9" t="n">
        <f aca="false">H18/2000</f>
        <v>3.345</v>
      </c>
      <c r="J18" s="10" t="n">
        <f aca="false">L18+N18+P18+R18+T18+V18+X18</f>
        <v>0.98</v>
      </c>
      <c r="K18" s="9" t="n">
        <f aca="false">I18*J18</f>
        <v>3.2781</v>
      </c>
      <c r="L18" s="10" t="n">
        <v>0.01</v>
      </c>
      <c r="M18" s="9" t="n">
        <f aca="false">I18*L18</f>
        <v>0.03345</v>
      </c>
      <c r="N18" s="10" t="n">
        <v>0</v>
      </c>
      <c r="O18" s="9" t="n">
        <f aca="false">I18*N18</f>
        <v>0</v>
      </c>
      <c r="P18" s="10" t="n">
        <v>0.06</v>
      </c>
      <c r="Q18" s="9" t="n">
        <f aca="false">I18*P18</f>
        <v>0.2007</v>
      </c>
      <c r="R18" s="10" t="n">
        <v>0.07</v>
      </c>
      <c r="S18" s="9" t="n">
        <f aca="false">I18*R18</f>
        <v>0.23415</v>
      </c>
      <c r="T18" s="10" t="n">
        <v>0.84</v>
      </c>
      <c r="U18" s="9" t="n">
        <f aca="false">I18*T18</f>
        <v>2.8098</v>
      </c>
      <c r="V18" s="10" t="n">
        <v>0</v>
      </c>
      <c r="W18" s="9" t="n">
        <f aca="false">I18*V18</f>
        <v>0</v>
      </c>
      <c r="X18" s="10" t="n">
        <v>0</v>
      </c>
      <c r="Y18" s="9" t="n">
        <f aca="false">I18*X18</f>
        <v>0</v>
      </c>
      <c r="Z18" s="11" t="s">
        <v>48</v>
      </c>
      <c r="AA18" s="12" t="s">
        <v>49</v>
      </c>
    </row>
    <row r="19" customFormat="false" ht="15" hidden="false" customHeight="false" outlineLevel="0" collapsed="false">
      <c r="A19" s="6" t="s">
        <v>62</v>
      </c>
      <c r="B19" s="6" t="s">
        <v>64</v>
      </c>
      <c r="C19" s="7" t="s">
        <v>51</v>
      </c>
      <c r="D19" s="8" t="n">
        <v>41990</v>
      </c>
      <c r="E19" s="9" t="n">
        <f aca="false">D19/2000</f>
        <v>20.995</v>
      </c>
      <c r="F19" s="8" t="n">
        <v>33440</v>
      </c>
      <c r="G19" s="9" t="n">
        <f aca="false">F19/2000</f>
        <v>16.72</v>
      </c>
      <c r="H19" s="8" t="n">
        <f aca="false">D19-F19</f>
        <v>8550</v>
      </c>
      <c r="I19" s="9" t="n">
        <f aca="false">H19/2000</f>
        <v>4.275</v>
      </c>
      <c r="J19" s="10" t="n">
        <f aca="false">L19+N19+P19+R19+T19+V19+X19</f>
        <v>0.87</v>
      </c>
      <c r="K19" s="9" t="n">
        <f aca="false">I19*J19</f>
        <v>3.71925</v>
      </c>
      <c r="L19" s="10" t="n">
        <v>0.11</v>
      </c>
      <c r="M19" s="9" t="n">
        <f aca="false">I19*L19</f>
        <v>0.47025</v>
      </c>
      <c r="N19" s="10" t="n">
        <v>0</v>
      </c>
      <c r="O19" s="9" t="n">
        <f aca="false">I19*N19</f>
        <v>0</v>
      </c>
      <c r="P19" s="10" t="n">
        <v>0.03</v>
      </c>
      <c r="Q19" s="9" t="n">
        <f aca="false">I19*P19</f>
        <v>0.12825</v>
      </c>
      <c r="R19" s="10" t="n">
        <v>0.1</v>
      </c>
      <c r="S19" s="9" t="n">
        <f aca="false">I19*R19</f>
        <v>0.4275</v>
      </c>
      <c r="T19" s="10" t="n">
        <v>0.63</v>
      </c>
      <c r="U19" s="9" t="n">
        <f aca="false">I19*T19</f>
        <v>2.69325</v>
      </c>
      <c r="V19" s="10" t="n">
        <v>0</v>
      </c>
      <c r="W19" s="9" t="n">
        <f aca="false">I19*V19</f>
        <v>0</v>
      </c>
      <c r="X19" s="10" t="n">
        <v>0</v>
      </c>
      <c r="Y19" s="9" t="n">
        <f aca="false">I19*X19</f>
        <v>0</v>
      </c>
      <c r="Z19" s="11" t="s">
        <v>48</v>
      </c>
      <c r="AA19" s="12" t="s">
        <v>49</v>
      </c>
    </row>
    <row r="20" customFormat="false" ht="15" hidden="false" customHeight="false" outlineLevel="0" collapsed="false">
      <c r="A20" s="6" t="s">
        <v>62</v>
      </c>
      <c r="B20" s="6" t="s">
        <v>65</v>
      </c>
      <c r="C20" s="7" t="s">
        <v>54</v>
      </c>
      <c r="D20" s="8" t="n">
        <v>34880</v>
      </c>
      <c r="E20" s="9" t="n">
        <f aca="false">D20/2000</f>
        <v>17.44</v>
      </c>
      <c r="F20" s="8" t="n">
        <v>32600</v>
      </c>
      <c r="G20" s="9" t="n">
        <f aca="false">F20/2000</f>
        <v>16.3</v>
      </c>
      <c r="H20" s="8" t="n">
        <f aca="false">D20-F20</f>
        <v>2280</v>
      </c>
      <c r="I20" s="9" t="n">
        <f aca="false">H20/2000</f>
        <v>1.14</v>
      </c>
      <c r="J20" s="10" t="n">
        <f aca="false">L20+N20+P20+R20+T20+V20+X20</f>
        <v>0.86</v>
      </c>
      <c r="K20" s="9" t="n">
        <f aca="false">I20*J20</f>
        <v>0.9804</v>
      </c>
      <c r="L20" s="10" t="n">
        <v>0.03</v>
      </c>
      <c r="M20" s="9" t="n">
        <f aca="false">I20*L20</f>
        <v>0.0342</v>
      </c>
      <c r="N20" s="10" t="n">
        <v>0</v>
      </c>
      <c r="O20" s="9" t="n">
        <f aca="false">I20*N20</f>
        <v>0</v>
      </c>
      <c r="P20" s="10" t="n">
        <v>0.03</v>
      </c>
      <c r="Q20" s="9" t="n">
        <f aca="false">I20*P20</f>
        <v>0.0342</v>
      </c>
      <c r="R20" s="10" t="n">
        <v>0.07</v>
      </c>
      <c r="S20" s="9" t="n">
        <f aca="false">I20*R20</f>
        <v>0.0798</v>
      </c>
      <c r="T20" s="10" t="n">
        <v>0.73</v>
      </c>
      <c r="U20" s="9" t="n">
        <f aca="false">I20*T20</f>
        <v>0.8322</v>
      </c>
      <c r="V20" s="10" t="n">
        <v>0</v>
      </c>
      <c r="W20" s="9" t="n">
        <f aca="false">I20*V20</f>
        <v>0</v>
      </c>
      <c r="X20" s="10" t="n">
        <v>0</v>
      </c>
      <c r="Y20" s="9" t="n">
        <f aca="false">I20*X20</f>
        <v>0</v>
      </c>
      <c r="Z20" s="11" t="s">
        <v>48</v>
      </c>
      <c r="AA20" s="12" t="s">
        <v>49</v>
      </c>
    </row>
    <row r="21" customFormat="false" ht="15" hidden="false" customHeight="false" outlineLevel="0" collapsed="false">
      <c r="A21" s="6" t="s">
        <v>62</v>
      </c>
      <c r="B21" s="6" t="s">
        <v>66</v>
      </c>
      <c r="C21" s="7" t="s">
        <v>54</v>
      </c>
      <c r="D21" s="8" t="n">
        <v>34640</v>
      </c>
      <c r="E21" s="9" t="n">
        <f aca="false">D21/2000</f>
        <v>17.32</v>
      </c>
      <c r="F21" s="8" t="n">
        <v>32600</v>
      </c>
      <c r="G21" s="9" t="n">
        <f aca="false">F21/2000</f>
        <v>16.3</v>
      </c>
      <c r="H21" s="8" t="n">
        <f aca="false">D21-F21</f>
        <v>2040</v>
      </c>
      <c r="I21" s="9" t="n">
        <f aca="false">H21/2000</f>
        <v>1.02</v>
      </c>
      <c r="J21" s="10" t="n">
        <f aca="false">L21+N21+P21+R21+T21+V21+X21</f>
        <v>0.96</v>
      </c>
      <c r="K21" s="9" t="n">
        <f aca="false">I21*J21</f>
        <v>0.9792</v>
      </c>
      <c r="L21" s="10" t="n">
        <v>0.11</v>
      </c>
      <c r="M21" s="9" t="n">
        <f aca="false">I21*L21</f>
        <v>0.1122</v>
      </c>
      <c r="N21" s="10" t="n">
        <v>0</v>
      </c>
      <c r="O21" s="9" t="n">
        <f aca="false">I21*N21</f>
        <v>0</v>
      </c>
      <c r="P21" s="10" t="n">
        <v>0.03</v>
      </c>
      <c r="Q21" s="9" t="n">
        <f aca="false">I21*P21</f>
        <v>0.0306</v>
      </c>
      <c r="R21" s="10" t="n">
        <v>0.1</v>
      </c>
      <c r="S21" s="9" t="n">
        <f aca="false">I21*R21</f>
        <v>0.102</v>
      </c>
      <c r="T21" s="10" t="n">
        <v>0.72</v>
      </c>
      <c r="U21" s="9" t="n">
        <f aca="false">I21*T21</f>
        <v>0.7344</v>
      </c>
      <c r="V21" s="10" t="n">
        <v>0</v>
      </c>
      <c r="W21" s="9" t="n">
        <f aca="false">I21*V21</f>
        <v>0</v>
      </c>
      <c r="X21" s="10" t="n">
        <v>0</v>
      </c>
      <c r="Y21" s="9" t="n">
        <f aca="false">I21*X21</f>
        <v>0</v>
      </c>
      <c r="Z21" s="11" t="s">
        <v>48</v>
      </c>
      <c r="AA21" s="12" t="s">
        <v>49</v>
      </c>
    </row>
    <row r="22" customFormat="false" ht="15" hidden="false" customHeight="false" outlineLevel="0" collapsed="false">
      <c r="A22" s="6" t="s">
        <v>62</v>
      </c>
      <c r="B22" s="6" t="s">
        <v>67</v>
      </c>
      <c r="C22" s="7" t="s">
        <v>54</v>
      </c>
      <c r="D22" s="8" t="n">
        <v>37800</v>
      </c>
      <c r="E22" s="9" t="n">
        <f aca="false">D22/2000</f>
        <v>18.9</v>
      </c>
      <c r="F22" s="8" t="n">
        <v>32620</v>
      </c>
      <c r="G22" s="9" t="n">
        <f aca="false">F22/2000</f>
        <v>16.31</v>
      </c>
      <c r="H22" s="8" t="n">
        <f aca="false">D22-F22</f>
        <v>5180</v>
      </c>
      <c r="I22" s="9" t="n">
        <f aca="false">H22/2000</f>
        <v>2.59</v>
      </c>
      <c r="J22" s="10" t="n">
        <f aca="false">L22+N22+P22+R22+T22+V22+X22</f>
        <v>0.95</v>
      </c>
      <c r="K22" s="9" t="n">
        <f aca="false">I22*J22</f>
        <v>2.4605</v>
      </c>
      <c r="L22" s="10" t="n">
        <v>0.06</v>
      </c>
      <c r="M22" s="9" t="n">
        <f aca="false">I22*L22</f>
        <v>0.1554</v>
      </c>
      <c r="N22" s="10" t="n">
        <v>0</v>
      </c>
      <c r="O22" s="9" t="n">
        <f aca="false">I22*N22</f>
        <v>0</v>
      </c>
      <c r="P22" s="10" t="n">
        <v>0.02</v>
      </c>
      <c r="Q22" s="9" t="n">
        <f aca="false">I22*P22</f>
        <v>0.0518</v>
      </c>
      <c r="R22" s="10" t="n">
        <v>0.1</v>
      </c>
      <c r="S22" s="9" t="n">
        <f aca="false">I22*R22</f>
        <v>0.259</v>
      </c>
      <c r="T22" s="10" t="n">
        <v>0.77</v>
      </c>
      <c r="U22" s="9" t="n">
        <f aca="false">I22*T22</f>
        <v>1.9943</v>
      </c>
      <c r="V22" s="10" t="n">
        <v>0</v>
      </c>
      <c r="W22" s="9" t="n">
        <f aca="false">I22*V22</f>
        <v>0</v>
      </c>
      <c r="X22" s="10" t="n">
        <v>0</v>
      </c>
      <c r="Y22" s="9" t="n">
        <f aca="false">I22*X22</f>
        <v>0</v>
      </c>
      <c r="Z22" s="11" t="s">
        <v>48</v>
      </c>
      <c r="AA22" s="12" t="s">
        <v>49</v>
      </c>
    </row>
    <row r="23" customFormat="false" ht="15" hidden="false" customHeight="false" outlineLevel="0" collapsed="false">
      <c r="A23" s="6" t="s">
        <v>62</v>
      </c>
      <c r="B23" s="6" t="s">
        <v>68</v>
      </c>
      <c r="C23" s="7" t="s">
        <v>54</v>
      </c>
      <c r="D23" s="8" t="n">
        <v>36660</v>
      </c>
      <c r="E23" s="9" t="n">
        <f aca="false">D23/2000</f>
        <v>18.33</v>
      </c>
      <c r="F23" s="8" t="n">
        <v>33200</v>
      </c>
      <c r="G23" s="9" t="n">
        <f aca="false">F23/2000</f>
        <v>16.6</v>
      </c>
      <c r="H23" s="8" t="n">
        <f aca="false">D23-F23</f>
        <v>3460</v>
      </c>
      <c r="I23" s="9" t="n">
        <f aca="false">H23/2000</f>
        <v>1.73</v>
      </c>
      <c r="J23" s="10" t="n">
        <f aca="false">L23+N23+P23+R23+T23+V23+X23</f>
        <v>0.88</v>
      </c>
      <c r="K23" s="9" t="n">
        <f aca="false">I23*J23</f>
        <v>1.5224</v>
      </c>
      <c r="L23" s="10" t="n">
        <v>0.1</v>
      </c>
      <c r="M23" s="9" t="n">
        <f aca="false">I23*L23</f>
        <v>0.173</v>
      </c>
      <c r="N23" s="10" t="n">
        <v>0</v>
      </c>
      <c r="O23" s="9" t="n">
        <f aca="false">I23*N23</f>
        <v>0</v>
      </c>
      <c r="P23" s="10" t="n">
        <v>0.03</v>
      </c>
      <c r="Q23" s="9" t="n">
        <f aca="false">I23*P23</f>
        <v>0.0519</v>
      </c>
      <c r="R23" s="10" t="n">
        <v>0.07</v>
      </c>
      <c r="S23" s="9" t="n">
        <f aca="false">I23*R23</f>
        <v>0.1211</v>
      </c>
      <c r="T23" s="10" t="n">
        <v>0.68</v>
      </c>
      <c r="U23" s="9" t="n">
        <f aca="false">I23*T23</f>
        <v>1.1764</v>
      </c>
      <c r="V23" s="10" t="n">
        <v>0</v>
      </c>
      <c r="W23" s="9" t="n">
        <f aca="false">I23*V23</f>
        <v>0</v>
      </c>
      <c r="X23" s="10" t="n">
        <v>0</v>
      </c>
      <c r="Y23" s="9" t="n">
        <f aca="false">I23*X23</f>
        <v>0</v>
      </c>
      <c r="Z23" s="11" t="s">
        <v>48</v>
      </c>
      <c r="AA23" s="12" t="s">
        <v>49</v>
      </c>
    </row>
    <row r="24" customFormat="false" ht="15" hidden="false" customHeight="false" outlineLevel="0" collapsed="false">
      <c r="A24" s="6" t="s">
        <v>62</v>
      </c>
      <c r="B24" s="6" t="s">
        <v>69</v>
      </c>
      <c r="C24" s="7" t="s">
        <v>47</v>
      </c>
      <c r="D24" s="8" t="n">
        <v>39350</v>
      </c>
      <c r="E24" s="9" t="n">
        <f aca="false">D24/2000</f>
        <v>19.675</v>
      </c>
      <c r="F24" s="8" t="n">
        <v>32600</v>
      </c>
      <c r="G24" s="9" t="n">
        <f aca="false">F24/2000</f>
        <v>16.3</v>
      </c>
      <c r="H24" s="8" t="n">
        <f aca="false">D24-F24</f>
        <v>6750</v>
      </c>
      <c r="I24" s="9" t="n">
        <f aca="false">H24/2000</f>
        <v>3.375</v>
      </c>
      <c r="J24" s="10" t="n">
        <f aca="false">L24+N24+P24+R24+T24+V24+X24</f>
        <v>1.01</v>
      </c>
      <c r="K24" s="9" t="n">
        <f aca="false">I24*J24</f>
        <v>3.40875</v>
      </c>
      <c r="L24" s="10" t="n">
        <v>0.06</v>
      </c>
      <c r="M24" s="9" t="n">
        <f aca="false">I24*L24</f>
        <v>0.2025</v>
      </c>
      <c r="N24" s="10" t="n">
        <v>0</v>
      </c>
      <c r="O24" s="9" t="n">
        <f aca="false">I24*N24</f>
        <v>0</v>
      </c>
      <c r="P24" s="10" t="n">
        <v>0.04</v>
      </c>
      <c r="Q24" s="9" t="n">
        <f aca="false">I24*P24</f>
        <v>0.135</v>
      </c>
      <c r="R24" s="10" t="n">
        <v>0.07</v>
      </c>
      <c r="S24" s="9" t="n">
        <f aca="false">I24*R24</f>
        <v>0.23625</v>
      </c>
      <c r="T24" s="10" t="n">
        <v>0.84</v>
      </c>
      <c r="U24" s="9" t="n">
        <f aca="false">I24*T24</f>
        <v>2.835</v>
      </c>
      <c r="V24" s="10" t="n">
        <v>0</v>
      </c>
      <c r="W24" s="9" t="n">
        <f aca="false">I24*V24</f>
        <v>0</v>
      </c>
      <c r="X24" s="10" t="n">
        <v>0</v>
      </c>
      <c r="Y24" s="9" t="n">
        <f aca="false">I24*X24</f>
        <v>0</v>
      </c>
      <c r="Z24" s="11" t="s">
        <v>48</v>
      </c>
      <c r="AA24" s="12" t="s">
        <v>49</v>
      </c>
    </row>
    <row r="25" customFormat="false" ht="15" hidden="false" customHeight="false" outlineLevel="0" collapsed="false">
      <c r="A25" s="6" t="s">
        <v>70</v>
      </c>
      <c r="B25" s="6" t="s">
        <v>71</v>
      </c>
      <c r="C25" s="7" t="s">
        <v>54</v>
      </c>
      <c r="D25" s="8" t="n">
        <v>38850</v>
      </c>
      <c r="E25" s="9" t="n">
        <f aca="false">D25/2000</f>
        <v>19.425</v>
      </c>
      <c r="F25" s="8" t="n">
        <v>32540</v>
      </c>
      <c r="G25" s="9" t="n">
        <f aca="false">F25/2000</f>
        <v>16.27</v>
      </c>
      <c r="H25" s="8" t="n">
        <f aca="false">D25-F25</f>
        <v>6310</v>
      </c>
      <c r="I25" s="9" t="n">
        <f aca="false">H25/2000</f>
        <v>3.155</v>
      </c>
      <c r="J25" s="10" t="n">
        <f aca="false">L25+N25+P25+R25+T25+V25+X25</f>
        <v>0.64</v>
      </c>
      <c r="K25" s="9" t="n">
        <f aca="false">I25*J25</f>
        <v>2.0192</v>
      </c>
      <c r="L25" s="10" t="n">
        <v>0.34</v>
      </c>
      <c r="M25" s="9" t="n">
        <f aca="false">I25*L25</f>
        <v>1.0727</v>
      </c>
      <c r="N25" s="10" t="n">
        <v>0</v>
      </c>
      <c r="O25" s="9" t="n">
        <f aca="false">I25*N25</f>
        <v>0</v>
      </c>
      <c r="P25" s="10" t="n">
        <v>0</v>
      </c>
      <c r="Q25" s="9" t="n">
        <f aca="false">I25*P25</f>
        <v>0</v>
      </c>
      <c r="R25" s="10" t="n">
        <v>0.16</v>
      </c>
      <c r="S25" s="9" t="n">
        <f aca="false">I25*R25</f>
        <v>0.5048</v>
      </c>
      <c r="T25" s="10" t="n">
        <v>0.11</v>
      </c>
      <c r="U25" s="9" t="n">
        <f aca="false">I25*T25</f>
        <v>0.34705</v>
      </c>
      <c r="V25" s="10" t="n">
        <v>0.02</v>
      </c>
      <c r="W25" s="9" t="n">
        <f aca="false">I25*V25</f>
        <v>0.0631</v>
      </c>
      <c r="X25" s="10" t="n">
        <v>0.01</v>
      </c>
      <c r="Y25" s="9" t="n">
        <f aca="false">I25*X25</f>
        <v>0.03155</v>
      </c>
      <c r="Z25" s="13" t="s">
        <v>57</v>
      </c>
      <c r="AA25" s="12"/>
    </row>
    <row r="26" customFormat="false" ht="15" hidden="false" customHeight="false" outlineLevel="0" collapsed="false">
      <c r="A26" s="6" t="s">
        <v>70</v>
      </c>
      <c r="B26" s="6" t="s">
        <v>72</v>
      </c>
      <c r="C26" s="7" t="s">
        <v>54</v>
      </c>
      <c r="D26" s="8" t="n">
        <v>40280</v>
      </c>
      <c r="E26" s="9" t="n">
        <f aca="false">D26/2000</f>
        <v>20.14</v>
      </c>
      <c r="F26" s="8" t="n">
        <v>33320</v>
      </c>
      <c r="G26" s="9" t="n">
        <f aca="false">F26/2000</f>
        <v>16.66</v>
      </c>
      <c r="H26" s="8" t="n">
        <f aca="false">D26-F26</f>
        <v>6960</v>
      </c>
      <c r="I26" s="9" t="n">
        <f aca="false">H26/2000</f>
        <v>3.48</v>
      </c>
      <c r="J26" s="10" t="n">
        <f aca="false">L26+N26+P26+R26+T26+V26+X26</f>
        <v>0.93</v>
      </c>
      <c r="K26" s="9" t="n">
        <f aca="false">I26*J26</f>
        <v>3.2364</v>
      </c>
      <c r="L26" s="10" t="n">
        <v>0.1</v>
      </c>
      <c r="M26" s="9" t="n">
        <f aca="false">I26*L26</f>
        <v>0.348</v>
      </c>
      <c r="N26" s="10" t="n">
        <v>0</v>
      </c>
      <c r="O26" s="9" t="n">
        <f aca="false">I26*N26</f>
        <v>0</v>
      </c>
      <c r="P26" s="10" t="n">
        <v>0.02</v>
      </c>
      <c r="Q26" s="9" t="n">
        <f aca="false">I26*P26</f>
        <v>0.0696</v>
      </c>
      <c r="R26" s="10" t="n">
        <v>0.06</v>
      </c>
      <c r="S26" s="9" t="n">
        <f aca="false">I26*R26</f>
        <v>0.2088</v>
      </c>
      <c r="T26" s="10" t="n">
        <v>0.75</v>
      </c>
      <c r="U26" s="9" t="n">
        <f aca="false">I26*T26</f>
        <v>2.61</v>
      </c>
      <c r="V26" s="10" t="n">
        <v>0</v>
      </c>
      <c r="W26" s="9" t="n">
        <f aca="false">I26*V26</f>
        <v>0</v>
      </c>
      <c r="X26" s="10" t="n">
        <v>0</v>
      </c>
      <c r="Y26" s="9" t="n">
        <f aca="false">I26*X26</f>
        <v>0</v>
      </c>
      <c r="Z26" s="11" t="s">
        <v>48</v>
      </c>
      <c r="AA26" s="12" t="s">
        <v>49</v>
      </c>
    </row>
    <row r="27" customFormat="false" ht="15" hidden="false" customHeight="false" outlineLevel="0" collapsed="false">
      <c r="A27" s="6" t="s">
        <v>70</v>
      </c>
      <c r="B27" s="6" t="s">
        <v>73</v>
      </c>
      <c r="C27" s="7" t="s">
        <v>54</v>
      </c>
      <c r="D27" s="8" t="n">
        <v>40490</v>
      </c>
      <c r="E27" s="9" t="n">
        <f aca="false">D27/2000</f>
        <v>20.245</v>
      </c>
      <c r="F27" s="8" t="n">
        <v>33320</v>
      </c>
      <c r="G27" s="9" t="n">
        <f aca="false">F27/2000</f>
        <v>16.66</v>
      </c>
      <c r="H27" s="8" t="n">
        <f aca="false">D27-F27</f>
        <v>7170</v>
      </c>
      <c r="I27" s="9" t="n">
        <f aca="false">H27/2000</f>
        <v>3.585</v>
      </c>
      <c r="J27" s="10" t="n">
        <f aca="false">L27+N27+P27+R27+T27+V27+X27</f>
        <v>0.79</v>
      </c>
      <c r="K27" s="9" t="n">
        <f aca="false">I27*J27</f>
        <v>2.83215</v>
      </c>
      <c r="L27" s="10" t="n">
        <v>0.06</v>
      </c>
      <c r="M27" s="9" t="n">
        <f aca="false">I27*L27</f>
        <v>0.2151</v>
      </c>
      <c r="N27" s="10" t="n">
        <v>0</v>
      </c>
      <c r="O27" s="9" t="n">
        <f aca="false">I27*N27</f>
        <v>0</v>
      </c>
      <c r="P27" s="10" t="n">
        <v>0.03</v>
      </c>
      <c r="Q27" s="9" t="n">
        <f aca="false">I27*P27</f>
        <v>0.10755</v>
      </c>
      <c r="R27" s="10" t="n">
        <v>0.06</v>
      </c>
      <c r="S27" s="9" t="n">
        <f aca="false">I27*R27</f>
        <v>0.2151</v>
      </c>
      <c r="T27" s="10" t="n">
        <v>0.64</v>
      </c>
      <c r="U27" s="9" t="n">
        <f aca="false">I27*T27</f>
        <v>2.2944</v>
      </c>
      <c r="V27" s="10" t="n">
        <v>0</v>
      </c>
      <c r="W27" s="9" t="n">
        <f aca="false">I27*V27</f>
        <v>0</v>
      </c>
      <c r="X27" s="10" t="n">
        <v>0</v>
      </c>
      <c r="Y27" s="9" t="n">
        <f aca="false">I27*X27</f>
        <v>0</v>
      </c>
      <c r="Z27" s="11" t="s">
        <v>48</v>
      </c>
      <c r="AA27" s="12" t="s">
        <v>49</v>
      </c>
    </row>
    <row r="28" customFormat="false" ht="15" hidden="false" customHeight="false" outlineLevel="0" collapsed="false">
      <c r="A28" s="6" t="s">
        <v>70</v>
      </c>
      <c r="B28" s="6" t="s">
        <v>74</v>
      </c>
      <c r="C28" s="7" t="s">
        <v>54</v>
      </c>
      <c r="D28" s="8" t="n">
        <v>37090</v>
      </c>
      <c r="E28" s="9" t="n">
        <f aca="false">D28/2000</f>
        <v>18.545</v>
      </c>
      <c r="F28" s="8" t="n">
        <v>32620</v>
      </c>
      <c r="G28" s="9" t="n">
        <f aca="false">F28/2000</f>
        <v>16.31</v>
      </c>
      <c r="H28" s="8" t="n">
        <f aca="false">D28-F28</f>
        <v>4470</v>
      </c>
      <c r="I28" s="9" t="n">
        <f aca="false">H28/2000</f>
        <v>2.235</v>
      </c>
      <c r="J28" s="10" t="n">
        <f aca="false">L28+N28+P28+R28+T28+V28+X28</f>
        <v>1</v>
      </c>
      <c r="K28" s="9" t="n">
        <f aca="false">I28*J28</f>
        <v>2.235</v>
      </c>
      <c r="L28" s="10" t="n">
        <v>0.01</v>
      </c>
      <c r="M28" s="9" t="n">
        <f aca="false">I28*L28</f>
        <v>0.02235</v>
      </c>
      <c r="N28" s="10" t="n">
        <v>0</v>
      </c>
      <c r="O28" s="9" t="n">
        <f aca="false">I28*N28</f>
        <v>0</v>
      </c>
      <c r="P28" s="10" t="n">
        <v>0.06</v>
      </c>
      <c r="Q28" s="9" t="n">
        <f aca="false">I28*P28</f>
        <v>0.1341</v>
      </c>
      <c r="R28" s="10" t="n">
        <v>0.08</v>
      </c>
      <c r="S28" s="9" t="n">
        <f aca="false">I28*R28</f>
        <v>0.1788</v>
      </c>
      <c r="T28" s="10" t="n">
        <v>0.85</v>
      </c>
      <c r="U28" s="9" t="n">
        <f aca="false">I28*T28</f>
        <v>1.89975</v>
      </c>
      <c r="V28" s="10" t="n">
        <v>0</v>
      </c>
      <c r="W28" s="9" t="n">
        <f aca="false">I28*V28</f>
        <v>0</v>
      </c>
      <c r="X28" s="10" t="n">
        <v>0</v>
      </c>
      <c r="Y28" s="9" t="n">
        <f aca="false">I28*X28</f>
        <v>0</v>
      </c>
      <c r="Z28" s="11" t="s">
        <v>48</v>
      </c>
      <c r="AA28" s="12" t="s">
        <v>49</v>
      </c>
    </row>
    <row r="29" customFormat="false" ht="15" hidden="false" customHeight="false" outlineLevel="0" collapsed="false">
      <c r="A29" s="6" t="s">
        <v>70</v>
      </c>
      <c r="B29" s="6" t="s">
        <v>75</v>
      </c>
      <c r="C29" s="7" t="s">
        <v>54</v>
      </c>
      <c r="D29" s="8" t="n">
        <v>40520</v>
      </c>
      <c r="E29" s="9" t="n">
        <f aca="false">D29/2000</f>
        <v>20.26</v>
      </c>
      <c r="F29" s="8" t="n">
        <v>33200</v>
      </c>
      <c r="G29" s="9" t="n">
        <f aca="false">F29/2000</f>
        <v>16.6</v>
      </c>
      <c r="H29" s="8" t="n">
        <f aca="false">D29-F29</f>
        <v>7320</v>
      </c>
      <c r="I29" s="9" t="n">
        <f aca="false">H29/2000</f>
        <v>3.66</v>
      </c>
      <c r="J29" s="10" t="n">
        <f aca="false">L29+N29+P29+R29+T29+V29+X29</f>
        <v>0.83</v>
      </c>
      <c r="K29" s="9" t="n">
        <f aca="false">I29*J29</f>
        <v>3.0378</v>
      </c>
      <c r="L29" s="10" t="n">
        <v>0.01</v>
      </c>
      <c r="M29" s="9" t="n">
        <f aca="false">I29*L29</f>
        <v>0.0366</v>
      </c>
      <c r="N29" s="10" t="n">
        <v>0</v>
      </c>
      <c r="O29" s="9" t="n">
        <f aca="false">I29*N29</f>
        <v>0</v>
      </c>
      <c r="P29" s="10" t="n">
        <v>0.03</v>
      </c>
      <c r="Q29" s="9" t="n">
        <f aca="false">I29*P29</f>
        <v>0.1098</v>
      </c>
      <c r="R29" s="10" t="n">
        <v>0.09</v>
      </c>
      <c r="S29" s="9" t="n">
        <f aca="false">I29*R29</f>
        <v>0.3294</v>
      </c>
      <c r="T29" s="10" t="n">
        <v>0.7</v>
      </c>
      <c r="U29" s="9" t="n">
        <f aca="false">I29*T29</f>
        <v>2.562</v>
      </c>
      <c r="V29" s="10" t="n">
        <v>0</v>
      </c>
      <c r="W29" s="9" t="n">
        <f aca="false">I29*V29</f>
        <v>0</v>
      </c>
      <c r="X29" s="10" t="n">
        <v>0</v>
      </c>
      <c r="Y29" s="9" t="n">
        <f aca="false">I29*X29</f>
        <v>0</v>
      </c>
      <c r="Z29" s="11" t="s">
        <v>48</v>
      </c>
      <c r="AA29" s="12" t="s">
        <v>49</v>
      </c>
    </row>
    <row r="30" customFormat="false" ht="15" hidden="false" customHeight="false" outlineLevel="0" collapsed="false">
      <c r="A30" s="6" t="s">
        <v>70</v>
      </c>
      <c r="B30" s="6" t="s">
        <v>76</v>
      </c>
      <c r="C30" s="7" t="s">
        <v>54</v>
      </c>
      <c r="D30" s="8" t="n">
        <v>37440</v>
      </c>
      <c r="E30" s="9" t="n">
        <f aca="false">D30/2000</f>
        <v>18.72</v>
      </c>
      <c r="F30" s="8" t="n">
        <v>33440</v>
      </c>
      <c r="G30" s="9" t="n">
        <f aca="false">F30/2000</f>
        <v>16.72</v>
      </c>
      <c r="H30" s="8" t="n">
        <f aca="false">D30-F30</f>
        <v>4000</v>
      </c>
      <c r="I30" s="9" t="n">
        <f aca="false">H30/2000</f>
        <v>2</v>
      </c>
      <c r="J30" s="10" t="n">
        <f aca="false">L30+N30+P30+R30+T30+V30+X30</f>
        <v>0.91</v>
      </c>
      <c r="K30" s="9" t="n">
        <f aca="false">I30*J30</f>
        <v>1.82</v>
      </c>
      <c r="L30" s="10" t="n">
        <v>0.04</v>
      </c>
      <c r="M30" s="9" t="n">
        <f aca="false">I30*L30</f>
        <v>0.08</v>
      </c>
      <c r="N30" s="10" t="n">
        <v>0</v>
      </c>
      <c r="O30" s="9" t="n">
        <f aca="false">I30*N30</f>
        <v>0</v>
      </c>
      <c r="P30" s="10" t="n">
        <v>0.06</v>
      </c>
      <c r="Q30" s="9" t="n">
        <f aca="false">I30*P30</f>
        <v>0.12</v>
      </c>
      <c r="R30" s="10" t="n">
        <v>0.06</v>
      </c>
      <c r="S30" s="9" t="n">
        <f aca="false">I30*R30</f>
        <v>0.12</v>
      </c>
      <c r="T30" s="10" t="n">
        <v>0.75</v>
      </c>
      <c r="U30" s="9" t="n">
        <f aca="false">I30*T30</f>
        <v>1.5</v>
      </c>
      <c r="V30" s="10" t="n">
        <v>0</v>
      </c>
      <c r="W30" s="9" t="n">
        <f aca="false">I30*V30</f>
        <v>0</v>
      </c>
      <c r="X30" s="10" t="n">
        <v>0</v>
      </c>
      <c r="Y30" s="9" t="n">
        <f aca="false">I30*X30</f>
        <v>0</v>
      </c>
      <c r="Z30" s="11" t="s">
        <v>48</v>
      </c>
      <c r="AA30" s="12" t="s">
        <v>49</v>
      </c>
    </row>
    <row r="31" customFormat="false" ht="15" hidden="false" customHeight="false" outlineLevel="0" collapsed="false">
      <c r="A31" s="6" t="s">
        <v>70</v>
      </c>
      <c r="B31" s="6" t="s">
        <v>77</v>
      </c>
      <c r="C31" s="7" t="s">
        <v>51</v>
      </c>
      <c r="D31" s="8" t="n">
        <v>39100</v>
      </c>
      <c r="E31" s="9" t="n">
        <f aca="false">D31/2000</f>
        <v>19.55</v>
      </c>
      <c r="F31" s="8" t="n">
        <v>32600</v>
      </c>
      <c r="G31" s="9" t="n">
        <f aca="false">F31/2000</f>
        <v>16.3</v>
      </c>
      <c r="H31" s="8" t="n">
        <f aca="false">D31-F31</f>
        <v>6500</v>
      </c>
      <c r="I31" s="9" t="n">
        <f aca="false">H31/2000</f>
        <v>3.25</v>
      </c>
      <c r="J31" s="10" t="n">
        <f aca="false">L31+N31+P31+R31+T31+V31+X31</f>
        <v>1.08</v>
      </c>
      <c r="K31" s="9" t="n">
        <f aca="false">I31*J31</f>
        <v>3.51</v>
      </c>
      <c r="L31" s="10" t="n">
        <v>0.09</v>
      </c>
      <c r="M31" s="9" t="n">
        <f aca="false">I31*L31</f>
        <v>0.2925</v>
      </c>
      <c r="N31" s="10" t="n">
        <v>0</v>
      </c>
      <c r="O31" s="9" t="n">
        <f aca="false">I31*N31</f>
        <v>0</v>
      </c>
      <c r="P31" s="10" t="n">
        <v>0.03</v>
      </c>
      <c r="Q31" s="9" t="n">
        <f aca="false">I31*P31</f>
        <v>0.0975</v>
      </c>
      <c r="R31" s="10" t="n">
        <v>0.11</v>
      </c>
      <c r="S31" s="9" t="n">
        <f aca="false">I31*R31</f>
        <v>0.3575</v>
      </c>
      <c r="T31" s="10" t="n">
        <v>0.85</v>
      </c>
      <c r="U31" s="9" t="n">
        <f aca="false">I31*T31</f>
        <v>2.7625</v>
      </c>
      <c r="V31" s="10" t="n">
        <v>0</v>
      </c>
      <c r="W31" s="9" t="n">
        <f aca="false">I31*V31</f>
        <v>0</v>
      </c>
      <c r="X31" s="10" t="n">
        <v>0</v>
      </c>
      <c r="Y31" s="9" t="n">
        <f aca="false">I31*X31</f>
        <v>0</v>
      </c>
      <c r="Z31" s="11" t="s">
        <v>48</v>
      </c>
      <c r="AA31" s="12" t="s">
        <v>49</v>
      </c>
    </row>
    <row r="32" customFormat="false" ht="15" hidden="false" customHeight="false" outlineLevel="0" collapsed="false">
      <c r="A32" s="6" t="s">
        <v>70</v>
      </c>
      <c r="B32" s="6" t="s">
        <v>78</v>
      </c>
      <c r="C32" s="7" t="s">
        <v>51</v>
      </c>
      <c r="D32" s="8" t="n">
        <v>35860</v>
      </c>
      <c r="E32" s="9" t="n">
        <f aca="false">D32/2000</f>
        <v>17.93</v>
      </c>
      <c r="F32" s="8" t="n">
        <v>32540</v>
      </c>
      <c r="G32" s="9" t="n">
        <f aca="false">F32/2000</f>
        <v>16.27</v>
      </c>
      <c r="H32" s="8" t="n">
        <f aca="false">D32-F32</f>
        <v>3320</v>
      </c>
      <c r="I32" s="9" t="n">
        <f aca="false">H32/2000</f>
        <v>1.66</v>
      </c>
      <c r="J32" s="10" t="n">
        <f aca="false">L32+N32+P32+R32+T32+V32+X32</f>
        <v>0.64</v>
      </c>
      <c r="K32" s="9" t="n">
        <f aca="false">I32*J32</f>
        <v>1.0624</v>
      </c>
      <c r="L32" s="10" t="n">
        <v>0.34</v>
      </c>
      <c r="M32" s="9" t="n">
        <f aca="false">I32*L32</f>
        <v>0.5644</v>
      </c>
      <c r="N32" s="10" t="n">
        <v>0</v>
      </c>
      <c r="O32" s="9" t="n">
        <f aca="false">I32*N32</f>
        <v>0</v>
      </c>
      <c r="P32" s="10" t="n">
        <v>0</v>
      </c>
      <c r="Q32" s="9" t="n">
        <f aca="false">I32*P32</f>
        <v>0</v>
      </c>
      <c r="R32" s="10" t="n">
        <v>0.16</v>
      </c>
      <c r="S32" s="9" t="n">
        <f aca="false">I32*R32</f>
        <v>0.2656</v>
      </c>
      <c r="T32" s="10" t="n">
        <v>0.11</v>
      </c>
      <c r="U32" s="9" t="n">
        <f aca="false">I32*T32</f>
        <v>0.1826</v>
      </c>
      <c r="V32" s="10" t="n">
        <v>0.02</v>
      </c>
      <c r="W32" s="9" t="n">
        <f aca="false">I32*V32</f>
        <v>0.0332</v>
      </c>
      <c r="X32" s="10" t="n">
        <v>0.01</v>
      </c>
      <c r="Y32" s="9" t="n">
        <f aca="false">I32*X32</f>
        <v>0.0166</v>
      </c>
      <c r="Z32" s="13" t="s">
        <v>57</v>
      </c>
      <c r="AA32" s="12"/>
    </row>
    <row r="33" customFormat="false" ht="15" hidden="false" customHeight="false" outlineLevel="0" collapsed="false">
      <c r="A33" s="6" t="s">
        <v>70</v>
      </c>
      <c r="B33" s="6" t="s">
        <v>79</v>
      </c>
      <c r="C33" s="7" t="s">
        <v>47</v>
      </c>
      <c r="D33" s="8" t="n">
        <v>38060</v>
      </c>
      <c r="E33" s="9" t="n">
        <f aca="false">D33/2000</f>
        <v>19.03</v>
      </c>
      <c r="F33" s="8" t="n">
        <v>33320</v>
      </c>
      <c r="G33" s="9" t="n">
        <f aca="false">F33/2000</f>
        <v>16.66</v>
      </c>
      <c r="H33" s="8" t="n">
        <f aca="false">D33-F33</f>
        <v>4740</v>
      </c>
      <c r="I33" s="9" t="n">
        <f aca="false">H33/2000</f>
        <v>2.37</v>
      </c>
      <c r="J33" s="10" t="n">
        <f aca="false">L33+N33+P33+R33+T33+V33+X33</f>
        <v>0.98</v>
      </c>
      <c r="K33" s="9" t="n">
        <f aca="false">I33*J33</f>
        <v>2.3226</v>
      </c>
      <c r="L33" s="10" t="n">
        <v>0.09</v>
      </c>
      <c r="M33" s="9" t="n">
        <f aca="false">I33*L33</f>
        <v>0.2133</v>
      </c>
      <c r="N33" s="10" t="n">
        <v>0</v>
      </c>
      <c r="O33" s="9" t="n">
        <f aca="false">I33*N33</f>
        <v>0</v>
      </c>
      <c r="P33" s="10" t="n">
        <v>0.03</v>
      </c>
      <c r="Q33" s="9" t="n">
        <f aca="false">I33*P33</f>
        <v>0.0711</v>
      </c>
      <c r="R33" s="10" t="n">
        <v>0.11</v>
      </c>
      <c r="S33" s="9" t="n">
        <f aca="false">I33*R33</f>
        <v>0.2607</v>
      </c>
      <c r="T33" s="10" t="n">
        <v>0.75</v>
      </c>
      <c r="U33" s="9" t="n">
        <f aca="false">I33*T33</f>
        <v>1.7775</v>
      </c>
      <c r="V33" s="10" t="n">
        <v>0</v>
      </c>
      <c r="W33" s="9" t="n">
        <f aca="false">I33*V33</f>
        <v>0</v>
      </c>
      <c r="X33" s="10" t="n">
        <v>0</v>
      </c>
      <c r="Y33" s="9" t="n">
        <f aca="false">I33*X33</f>
        <v>0</v>
      </c>
      <c r="Z33" s="11" t="s">
        <v>48</v>
      </c>
      <c r="AA33" s="12" t="s">
        <v>49</v>
      </c>
    </row>
    <row r="34" customFormat="false" ht="15" hidden="false" customHeight="false" outlineLevel="0" collapsed="false">
      <c r="A34" s="6" t="s">
        <v>70</v>
      </c>
      <c r="B34" s="6" t="s">
        <v>80</v>
      </c>
      <c r="C34" s="7" t="s">
        <v>54</v>
      </c>
      <c r="D34" s="8" t="n">
        <v>36780</v>
      </c>
      <c r="E34" s="9" t="n">
        <f aca="false">D34/2000</f>
        <v>18.39</v>
      </c>
      <c r="F34" s="8" t="n">
        <v>32540</v>
      </c>
      <c r="G34" s="9" t="n">
        <f aca="false">F34/2000</f>
        <v>16.27</v>
      </c>
      <c r="H34" s="8" t="n">
        <f aca="false">D34-F34</f>
        <v>4240</v>
      </c>
      <c r="I34" s="9" t="n">
        <f aca="false">H34/2000</f>
        <v>2.12</v>
      </c>
      <c r="J34" s="10" t="n">
        <f aca="false">L34+N34+P34+R34+T34+V34+X34</f>
        <v>0.64</v>
      </c>
      <c r="K34" s="9" t="n">
        <f aca="false">I34*J34</f>
        <v>1.3568</v>
      </c>
      <c r="L34" s="10" t="n">
        <v>0.34</v>
      </c>
      <c r="M34" s="9" t="n">
        <f aca="false">I34*L34</f>
        <v>0.7208</v>
      </c>
      <c r="N34" s="10" t="n">
        <v>0</v>
      </c>
      <c r="O34" s="9" t="n">
        <f aca="false">I34*N34</f>
        <v>0</v>
      </c>
      <c r="P34" s="10" t="n">
        <v>0</v>
      </c>
      <c r="Q34" s="9" t="n">
        <f aca="false">I34*P34</f>
        <v>0</v>
      </c>
      <c r="R34" s="10" t="n">
        <v>0.16</v>
      </c>
      <c r="S34" s="9" t="n">
        <f aca="false">I34*R34</f>
        <v>0.3392</v>
      </c>
      <c r="T34" s="10" t="n">
        <v>0.11</v>
      </c>
      <c r="U34" s="9" t="n">
        <f aca="false">I34*T34</f>
        <v>0.2332</v>
      </c>
      <c r="V34" s="10" t="n">
        <v>0.02</v>
      </c>
      <c r="W34" s="9" t="n">
        <f aca="false">I34*V34</f>
        <v>0.0424</v>
      </c>
      <c r="X34" s="10" t="n">
        <v>0.01</v>
      </c>
      <c r="Y34" s="9" t="n">
        <f aca="false">I34*X34</f>
        <v>0.0212</v>
      </c>
      <c r="Z34" s="13" t="s">
        <v>57</v>
      </c>
      <c r="AA34" s="12"/>
    </row>
    <row r="35" customFormat="false" ht="15" hidden="false" customHeight="false" outlineLevel="0" collapsed="false">
      <c r="A35" s="6" t="s">
        <v>70</v>
      </c>
      <c r="B35" s="6" t="s">
        <v>81</v>
      </c>
      <c r="C35" s="7" t="s">
        <v>54</v>
      </c>
      <c r="D35" s="8" t="n">
        <v>36630</v>
      </c>
      <c r="E35" s="9" t="n">
        <f aca="false">D35/2000</f>
        <v>18.315</v>
      </c>
      <c r="F35" s="8" t="n">
        <v>33200</v>
      </c>
      <c r="G35" s="9" t="n">
        <f aca="false">F35/2000</f>
        <v>16.6</v>
      </c>
      <c r="H35" s="8" t="n">
        <f aca="false">D35-F35</f>
        <v>3430</v>
      </c>
      <c r="I35" s="9" t="n">
        <f aca="false">H35/2000</f>
        <v>1.715</v>
      </c>
      <c r="J35" s="10" t="n">
        <f aca="false">L35+N35+P35+R35+T35+V35+X35</f>
        <v>1.02</v>
      </c>
      <c r="K35" s="9" t="n">
        <f aca="false">I35*J35</f>
        <v>1.7493</v>
      </c>
      <c r="L35" s="10" t="n">
        <v>0.09</v>
      </c>
      <c r="M35" s="9" t="n">
        <f aca="false">I35*L35</f>
        <v>0.15435</v>
      </c>
      <c r="N35" s="10" t="n">
        <v>0</v>
      </c>
      <c r="O35" s="9" t="n">
        <f aca="false">I35*N35</f>
        <v>0</v>
      </c>
      <c r="P35" s="10" t="n">
        <v>0.06</v>
      </c>
      <c r="Q35" s="9" t="n">
        <f aca="false">I35*P35</f>
        <v>0.1029</v>
      </c>
      <c r="R35" s="10" t="n">
        <v>0.05</v>
      </c>
      <c r="S35" s="9" t="n">
        <f aca="false">I35*R35</f>
        <v>0.08575</v>
      </c>
      <c r="T35" s="10" t="n">
        <v>0.82</v>
      </c>
      <c r="U35" s="9" t="n">
        <f aca="false">I35*T35</f>
        <v>1.4063</v>
      </c>
      <c r="V35" s="10" t="n">
        <v>0</v>
      </c>
      <c r="W35" s="9" t="n">
        <f aca="false">I35*V35</f>
        <v>0</v>
      </c>
      <c r="X35" s="10" t="n">
        <v>0</v>
      </c>
      <c r="Y35" s="9" t="n">
        <f aca="false">I35*X35</f>
        <v>0</v>
      </c>
      <c r="Z35" s="11" t="s">
        <v>48</v>
      </c>
      <c r="AA35" s="12" t="s">
        <v>49</v>
      </c>
    </row>
    <row r="36" customFormat="false" ht="15" hidden="false" customHeight="false" outlineLevel="0" collapsed="false">
      <c r="A36" s="6" t="s">
        <v>70</v>
      </c>
      <c r="B36" s="6" t="s">
        <v>82</v>
      </c>
      <c r="C36" s="7" t="s">
        <v>54</v>
      </c>
      <c r="D36" s="8" t="n">
        <v>42310</v>
      </c>
      <c r="E36" s="9" t="n">
        <f aca="false">D36/2000</f>
        <v>21.155</v>
      </c>
      <c r="F36" s="8" t="n">
        <v>32600</v>
      </c>
      <c r="G36" s="9" t="n">
        <f aca="false">F36/2000</f>
        <v>16.3</v>
      </c>
      <c r="H36" s="8" t="n">
        <f aca="false">D36-F36</f>
        <v>9710</v>
      </c>
      <c r="I36" s="9" t="n">
        <f aca="false">H36/2000</f>
        <v>4.855</v>
      </c>
      <c r="J36" s="10" t="n">
        <f aca="false">L36+N36+P36+R36+T36+V36+X36</f>
        <v>1.04</v>
      </c>
      <c r="K36" s="9" t="n">
        <f aca="false">I36*J36</f>
        <v>5.0492</v>
      </c>
      <c r="L36" s="10" t="n">
        <v>0.07</v>
      </c>
      <c r="M36" s="9" t="n">
        <f aca="false">I36*L36</f>
        <v>0.33985</v>
      </c>
      <c r="N36" s="10" t="n">
        <v>0</v>
      </c>
      <c r="O36" s="9" t="n">
        <f aca="false">I36*N36</f>
        <v>0</v>
      </c>
      <c r="P36" s="10" t="n">
        <v>0.03</v>
      </c>
      <c r="Q36" s="9" t="n">
        <f aca="false">I36*P36</f>
        <v>0.14565</v>
      </c>
      <c r="R36" s="10" t="n">
        <v>0.09</v>
      </c>
      <c r="S36" s="9" t="n">
        <f aca="false">I36*R36</f>
        <v>0.43695</v>
      </c>
      <c r="T36" s="10" t="n">
        <v>0.85</v>
      </c>
      <c r="U36" s="9" t="n">
        <f aca="false">I36*T36</f>
        <v>4.12675</v>
      </c>
      <c r="V36" s="10" t="n">
        <v>0</v>
      </c>
      <c r="W36" s="9" t="n">
        <f aca="false">I36*V36</f>
        <v>0</v>
      </c>
      <c r="X36" s="10" t="n">
        <v>0</v>
      </c>
      <c r="Y36" s="9" t="n">
        <f aca="false">I36*X36</f>
        <v>0</v>
      </c>
      <c r="Z36" s="11" t="s">
        <v>48</v>
      </c>
      <c r="AA36" s="12" t="s">
        <v>49</v>
      </c>
    </row>
    <row r="37" customFormat="false" ht="15" hidden="false" customHeight="false" outlineLevel="0" collapsed="false">
      <c r="A37" s="6" t="s">
        <v>70</v>
      </c>
      <c r="B37" s="6" t="s">
        <v>83</v>
      </c>
      <c r="C37" s="7" t="s">
        <v>54</v>
      </c>
      <c r="D37" s="8" t="n">
        <v>41220</v>
      </c>
      <c r="E37" s="9" t="n">
        <f aca="false">D37/2000</f>
        <v>20.61</v>
      </c>
      <c r="F37" s="8" t="n">
        <v>33320</v>
      </c>
      <c r="G37" s="9" t="n">
        <f aca="false">F37/2000</f>
        <v>16.66</v>
      </c>
      <c r="H37" s="8" t="n">
        <f aca="false">D37-F37</f>
        <v>7900</v>
      </c>
      <c r="I37" s="9" t="n">
        <f aca="false">H37/2000</f>
        <v>3.95</v>
      </c>
      <c r="J37" s="10" t="n">
        <f aca="false">L37+N37+P37+R37+T37+V37+X37</f>
        <v>0.91</v>
      </c>
      <c r="K37" s="9" t="n">
        <f aca="false">I37*J37</f>
        <v>3.5945</v>
      </c>
      <c r="L37" s="10" t="n">
        <v>0.06</v>
      </c>
      <c r="M37" s="9" t="n">
        <f aca="false">I37*L37</f>
        <v>0.237</v>
      </c>
      <c r="N37" s="10" t="n">
        <v>0</v>
      </c>
      <c r="O37" s="9" t="n">
        <f aca="false">I37*N37</f>
        <v>0</v>
      </c>
      <c r="P37" s="10" t="n">
        <v>0.02</v>
      </c>
      <c r="Q37" s="9" t="n">
        <f aca="false">I37*P37</f>
        <v>0.079</v>
      </c>
      <c r="R37" s="10" t="n">
        <v>0.09</v>
      </c>
      <c r="S37" s="9" t="n">
        <f aca="false">I37*R37</f>
        <v>0.3555</v>
      </c>
      <c r="T37" s="10" t="n">
        <v>0.74</v>
      </c>
      <c r="U37" s="9" t="n">
        <f aca="false">I37*T37</f>
        <v>2.923</v>
      </c>
      <c r="V37" s="10" t="n">
        <v>0</v>
      </c>
      <c r="W37" s="9" t="n">
        <f aca="false">I37*V37</f>
        <v>0</v>
      </c>
      <c r="X37" s="10" t="n">
        <v>0</v>
      </c>
      <c r="Y37" s="9" t="n">
        <f aca="false">I37*X37</f>
        <v>0</v>
      </c>
      <c r="Z37" s="11" t="s">
        <v>48</v>
      </c>
      <c r="AA37" s="12" t="s">
        <v>49</v>
      </c>
    </row>
    <row r="38" customFormat="false" ht="15" hidden="false" customHeight="false" outlineLevel="0" collapsed="false">
      <c r="A38" s="6" t="s">
        <v>84</v>
      </c>
      <c r="B38" s="6" t="s">
        <v>85</v>
      </c>
      <c r="C38" s="7" t="s">
        <v>54</v>
      </c>
      <c r="D38" s="8" t="n">
        <v>41050</v>
      </c>
      <c r="E38" s="9" t="n">
        <f aca="false">D38/2000</f>
        <v>20.525</v>
      </c>
      <c r="F38" s="8" t="n">
        <v>32540</v>
      </c>
      <c r="G38" s="9" t="n">
        <f aca="false">F38/2000</f>
        <v>16.27</v>
      </c>
      <c r="H38" s="8" t="n">
        <f aca="false">D38-F38</f>
        <v>8510</v>
      </c>
      <c r="I38" s="9" t="n">
        <f aca="false">H38/2000</f>
        <v>4.255</v>
      </c>
      <c r="J38" s="10" t="n">
        <f aca="false">L38+N38+P38+R38+T38+V38+X38</f>
        <v>0.64</v>
      </c>
      <c r="K38" s="9" t="n">
        <f aca="false">I38*J38</f>
        <v>2.7232</v>
      </c>
      <c r="L38" s="10" t="n">
        <v>0.34</v>
      </c>
      <c r="M38" s="9" t="n">
        <f aca="false">I38*L38</f>
        <v>1.4467</v>
      </c>
      <c r="N38" s="10" t="n">
        <v>0</v>
      </c>
      <c r="O38" s="9" t="n">
        <f aca="false">I38*N38</f>
        <v>0</v>
      </c>
      <c r="P38" s="10" t="n">
        <v>0</v>
      </c>
      <c r="Q38" s="9" t="n">
        <f aca="false">I38*P38</f>
        <v>0</v>
      </c>
      <c r="R38" s="10" t="n">
        <v>0.16</v>
      </c>
      <c r="S38" s="9" t="n">
        <f aca="false">I38*R38</f>
        <v>0.6808</v>
      </c>
      <c r="T38" s="10" t="n">
        <v>0.11</v>
      </c>
      <c r="U38" s="9" t="n">
        <f aca="false">I38*T38</f>
        <v>0.46805</v>
      </c>
      <c r="V38" s="10" t="n">
        <v>0.02</v>
      </c>
      <c r="W38" s="9" t="n">
        <f aca="false">I38*V38</f>
        <v>0.0851</v>
      </c>
      <c r="X38" s="10" t="n">
        <v>0.01</v>
      </c>
      <c r="Y38" s="9" t="n">
        <f aca="false">I38*X38</f>
        <v>0.04255</v>
      </c>
      <c r="Z38" s="13" t="s">
        <v>57</v>
      </c>
      <c r="AA38" s="12"/>
    </row>
    <row r="39" customFormat="false" ht="15" hidden="false" customHeight="false" outlineLevel="0" collapsed="false">
      <c r="A39" s="6" t="s">
        <v>84</v>
      </c>
      <c r="B39" s="6" t="s">
        <v>86</v>
      </c>
      <c r="C39" s="7" t="s">
        <v>54</v>
      </c>
      <c r="D39" s="8" t="n">
        <v>39020</v>
      </c>
      <c r="E39" s="9" t="n">
        <f aca="false">D39/2000</f>
        <v>19.51</v>
      </c>
      <c r="F39" s="8" t="n">
        <v>33000</v>
      </c>
      <c r="G39" s="9" t="n">
        <f aca="false">F39/2000</f>
        <v>16.5</v>
      </c>
      <c r="H39" s="8" t="n">
        <f aca="false">D39-F39</f>
        <v>6020</v>
      </c>
      <c r="I39" s="9" t="n">
        <f aca="false">H39/2000</f>
        <v>3.01</v>
      </c>
      <c r="J39" s="10" t="n">
        <f aca="false">L39+N39+P39+R39+T39+V39+X39</f>
        <v>1</v>
      </c>
      <c r="K39" s="9" t="n">
        <f aca="false">I39*J39</f>
        <v>3.01</v>
      </c>
      <c r="L39" s="10" t="n">
        <v>0.09</v>
      </c>
      <c r="M39" s="9" t="n">
        <f aca="false">I39*L39</f>
        <v>0.2709</v>
      </c>
      <c r="N39" s="10" t="n">
        <v>0</v>
      </c>
      <c r="O39" s="9" t="n">
        <f aca="false">I39*N39</f>
        <v>0</v>
      </c>
      <c r="P39" s="10" t="n">
        <v>0.07</v>
      </c>
      <c r="Q39" s="9" t="n">
        <f aca="false">I39*P39</f>
        <v>0.2107</v>
      </c>
      <c r="R39" s="10" t="n">
        <v>0.1</v>
      </c>
      <c r="S39" s="9" t="n">
        <f aca="false">I39*R39</f>
        <v>0.301</v>
      </c>
      <c r="T39" s="10" t="n">
        <v>0.74</v>
      </c>
      <c r="U39" s="9" t="n">
        <f aca="false">I39*T39</f>
        <v>2.2274</v>
      </c>
      <c r="V39" s="10" t="n">
        <v>0</v>
      </c>
      <c r="W39" s="9" t="n">
        <f aca="false">I39*V39</f>
        <v>0</v>
      </c>
      <c r="X39" s="10" t="n">
        <v>0</v>
      </c>
      <c r="Y39" s="9" t="n">
        <f aca="false">I39*X39</f>
        <v>0</v>
      </c>
      <c r="Z39" s="11" t="s">
        <v>48</v>
      </c>
      <c r="AA39" s="12" t="s">
        <v>49</v>
      </c>
    </row>
    <row r="40" customFormat="false" ht="15" hidden="false" customHeight="false" outlineLevel="0" collapsed="false">
      <c r="A40" s="6" t="s">
        <v>84</v>
      </c>
      <c r="B40" s="6" t="s">
        <v>87</v>
      </c>
      <c r="C40" s="7" t="s">
        <v>54</v>
      </c>
      <c r="D40" s="8" t="n">
        <v>41620</v>
      </c>
      <c r="E40" s="9" t="n">
        <f aca="false">D40/2000</f>
        <v>20.81</v>
      </c>
      <c r="F40" s="8" t="n">
        <v>32540</v>
      </c>
      <c r="G40" s="9" t="n">
        <f aca="false">F40/2000</f>
        <v>16.27</v>
      </c>
      <c r="H40" s="8" t="n">
        <f aca="false">D40-F40</f>
        <v>9080</v>
      </c>
      <c r="I40" s="9" t="n">
        <f aca="false">H40/2000</f>
        <v>4.54</v>
      </c>
      <c r="J40" s="10" t="n">
        <f aca="false">L40+N40+P40+R40+T40+V40+X40</f>
        <v>0.64</v>
      </c>
      <c r="K40" s="9" t="n">
        <f aca="false">I40*J40</f>
        <v>2.9056</v>
      </c>
      <c r="L40" s="10" t="n">
        <v>0.34</v>
      </c>
      <c r="M40" s="9" t="n">
        <f aca="false">I40*L40</f>
        <v>1.5436</v>
      </c>
      <c r="N40" s="10" t="n">
        <v>0</v>
      </c>
      <c r="O40" s="9" t="n">
        <f aca="false">I40*N40</f>
        <v>0</v>
      </c>
      <c r="P40" s="10" t="n">
        <v>0</v>
      </c>
      <c r="Q40" s="9" t="n">
        <f aca="false">I40*P40</f>
        <v>0</v>
      </c>
      <c r="R40" s="10" t="n">
        <v>0.16</v>
      </c>
      <c r="S40" s="9" t="n">
        <f aca="false">I40*R40</f>
        <v>0.7264</v>
      </c>
      <c r="T40" s="10" t="n">
        <v>0.11</v>
      </c>
      <c r="U40" s="9" t="n">
        <f aca="false">I40*T40</f>
        <v>0.4994</v>
      </c>
      <c r="V40" s="10" t="n">
        <v>0.02</v>
      </c>
      <c r="W40" s="9" t="n">
        <f aca="false">I40*V40</f>
        <v>0.0908</v>
      </c>
      <c r="X40" s="10" t="n">
        <v>0.01</v>
      </c>
      <c r="Y40" s="9" t="n">
        <f aca="false">I40*X40</f>
        <v>0.0454</v>
      </c>
      <c r="Z40" s="13" t="s">
        <v>57</v>
      </c>
      <c r="AA40" s="12"/>
    </row>
    <row r="41" customFormat="false" ht="15" hidden="false" customHeight="false" outlineLevel="0" collapsed="false">
      <c r="A41" s="6" t="s">
        <v>88</v>
      </c>
      <c r="B41" s="6" t="s">
        <v>89</v>
      </c>
      <c r="C41" s="7" t="s">
        <v>90</v>
      </c>
      <c r="D41" s="8" t="n">
        <v>38890</v>
      </c>
      <c r="E41" s="9" t="n">
        <f aca="false">D41/2000</f>
        <v>19.445</v>
      </c>
      <c r="F41" s="8" t="n">
        <v>33000</v>
      </c>
      <c r="G41" s="9" t="n">
        <f aca="false">F41/2000</f>
        <v>16.5</v>
      </c>
      <c r="H41" s="8" t="n">
        <f aca="false">D41-F41</f>
        <v>5890</v>
      </c>
      <c r="I41" s="9" t="n">
        <f aca="false">H41/2000</f>
        <v>2.945</v>
      </c>
      <c r="J41" s="10" t="n">
        <f aca="false">L41+N41+P41+R41+T41+V41+X41</f>
        <v>0.94</v>
      </c>
      <c r="K41" s="9" t="n">
        <f aca="false">I41*J41</f>
        <v>2.7683</v>
      </c>
      <c r="L41" s="10" t="n">
        <v>0.06</v>
      </c>
      <c r="M41" s="9" t="n">
        <f aca="false">I41*L41</f>
        <v>0.1767</v>
      </c>
      <c r="N41" s="10" t="n">
        <v>0</v>
      </c>
      <c r="O41" s="9" t="n">
        <f aca="false">I41*N41</f>
        <v>0</v>
      </c>
      <c r="P41" s="10" t="n">
        <v>0.04</v>
      </c>
      <c r="Q41" s="9" t="n">
        <f aca="false">I41*P41</f>
        <v>0.1178</v>
      </c>
      <c r="R41" s="10" t="n">
        <v>0.11</v>
      </c>
      <c r="S41" s="9" t="n">
        <f aca="false">I41*R41</f>
        <v>0.32395</v>
      </c>
      <c r="T41" s="10" t="n">
        <v>0.73</v>
      </c>
      <c r="U41" s="9" t="n">
        <f aca="false">I41*T41</f>
        <v>2.14985</v>
      </c>
      <c r="V41" s="10" t="n">
        <v>0</v>
      </c>
      <c r="W41" s="9" t="n">
        <f aca="false">I41*V41</f>
        <v>0</v>
      </c>
      <c r="X41" s="10" t="n">
        <v>0</v>
      </c>
      <c r="Y41" s="9" t="n">
        <f aca="false">I41*X41</f>
        <v>0</v>
      </c>
      <c r="Z41" s="11" t="s">
        <v>48</v>
      </c>
      <c r="AA41" s="12" t="s">
        <v>49</v>
      </c>
    </row>
    <row r="42" customFormat="false" ht="15" hidden="false" customHeight="false" outlineLevel="0" collapsed="false">
      <c r="A42" s="6" t="s">
        <v>91</v>
      </c>
      <c r="B42" s="6" t="s">
        <v>92</v>
      </c>
      <c r="C42" s="7" t="s">
        <v>54</v>
      </c>
      <c r="D42" s="8" t="n">
        <v>39690</v>
      </c>
      <c r="E42" s="9" t="n">
        <f aca="false">D42/2000</f>
        <v>19.845</v>
      </c>
      <c r="F42" s="8" t="n">
        <v>32620</v>
      </c>
      <c r="G42" s="9" t="n">
        <f aca="false">F42/2000</f>
        <v>16.31</v>
      </c>
      <c r="H42" s="8" t="n">
        <f aca="false">D42-F42</f>
        <v>7070</v>
      </c>
      <c r="I42" s="9" t="n">
        <f aca="false">H42/2000</f>
        <v>3.535</v>
      </c>
      <c r="J42" s="10" t="n">
        <f aca="false">L42+N42+P42+R42+T42+V42+X42</f>
        <v>1.04</v>
      </c>
      <c r="K42" s="9" t="n">
        <f aca="false">I42*J42</f>
        <v>3.6764</v>
      </c>
      <c r="L42" s="10" t="n">
        <v>0.05</v>
      </c>
      <c r="M42" s="9" t="n">
        <f aca="false">I42*L42</f>
        <v>0.17675</v>
      </c>
      <c r="N42" s="10" t="n">
        <v>0</v>
      </c>
      <c r="O42" s="9" t="n">
        <f aca="false">I42*N42</f>
        <v>0</v>
      </c>
      <c r="P42" s="10" t="n">
        <v>0.07</v>
      </c>
      <c r="Q42" s="9" t="n">
        <f aca="false">I42*P42</f>
        <v>0.24745</v>
      </c>
      <c r="R42" s="10" t="n">
        <v>0.12</v>
      </c>
      <c r="S42" s="9" t="n">
        <f aca="false">I42*R42</f>
        <v>0.4242</v>
      </c>
      <c r="T42" s="10" t="n">
        <v>0.8</v>
      </c>
      <c r="U42" s="9" t="n">
        <f aca="false">I42*T42</f>
        <v>2.828</v>
      </c>
      <c r="V42" s="10" t="n">
        <v>0</v>
      </c>
      <c r="W42" s="9" t="n">
        <f aca="false">I42*V42</f>
        <v>0</v>
      </c>
      <c r="X42" s="10" t="n">
        <v>0</v>
      </c>
      <c r="Y42" s="9" t="n">
        <f aca="false">I42*X42</f>
        <v>0</v>
      </c>
      <c r="Z42" s="11" t="s">
        <v>48</v>
      </c>
      <c r="AA42" s="12" t="s">
        <v>49</v>
      </c>
    </row>
    <row r="43" customFormat="false" ht="15" hidden="false" customHeight="false" outlineLevel="0" collapsed="false">
      <c r="A43" s="6" t="s">
        <v>91</v>
      </c>
      <c r="B43" s="6" t="s">
        <v>93</v>
      </c>
      <c r="C43" s="7" t="s">
        <v>47</v>
      </c>
      <c r="D43" s="8" t="n">
        <v>37840</v>
      </c>
      <c r="E43" s="9" t="n">
        <f aca="false">D43/2000</f>
        <v>18.92</v>
      </c>
      <c r="F43" s="8" t="n">
        <v>33440</v>
      </c>
      <c r="G43" s="9" t="n">
        <f aca="false">F43/2000</f>
        <v>16.72</v>
      </c>
      <c r="H43" s="8" t="n">
        <f aca="false">D43-F43</f>
        <v>4400</v>
      </c>
      <c r="I43" s="9" t="n">
        <f aca="false">H43/2000</f>
        <v>2.2</v>
      </c>
      <c r="J43" s="10" t="n">
        <f aca="false">L43+N43+P43+R43+T43+V43+X43</f>
        <v>0.86</v>
      </c>
      <c r="K43" s="9" t="n">
        <f aca="false">I43*J43</f>
        <v>1.892</v>
      </c>
      <c r="L43" s="10" t="n">
        <v>0.08</v>
      </c>
      <c r="M43" s="9" t="n">
        <f aca="false">I43*L43</f>
        <v>0.176</v>
      </c>
      <c r="N43" s="10" t="n">
        <v>0</v>
      </c>
      <c r="O43" s="9" t="n">
        <f aca="false">I43*N43</f>
        <v>0</v>
      </c>
      <c r="P43" s="10" t="n">
        <v>0.03</v>
      </c>
      <c r="Q43" s="9" t="n">
        <f aca="false">I43*P43</f>
        <v>0.066</v>
      </c>
      <c r="R43" s="10" t="n">
        <v>0.1</v>
      </c>
      <c r="S43" s="9" t="n">
        <f aca="false">I43*R43</f>
        <v>0.22</v>
      </c>
      <c r="T43" s="10" t="n">
        <v>0.65</v>
      </c>
      <c r="U43" s="9" t="n">
        <f aca="false">I43*T43</f>
        <v>1.43</v>
      </c>
      <c r="V43" s="10" t="n">
        <v>0</v>
      </c>
      <c r="W43" s="9" t="n">
        <f aca="false">I43*V43</f>
        <v>0</v>
      </c>
      <c r="X43" s="10" t="n">
        <v>0</v>
      </c>
      <c r="Y43" s="9" t="n">
        <f aca="false">I43*X43</f>
        <v>0</v>
      </c>
      <c r="Z43" s="11" t="s">
        <v>48</v>
      </c>
      <c r="AA43" s="12" t="s">
        <v>49</v>
      </c>
    </row>
    <row r="44" customFormat="false" ht="15" hidden="false" customHeight="false" outlineLevel="0" collapsed="false">
      <c r="A44" s="6" t="s">
        <v>91</v>
      </c>
      <c r="B44" s="6" t="s">
        <v>94</v>
      </c>
      <c r="C44" s="7" t="s">
        <v>54</v>
      </c>
      <c r="D44" s="8" t="n">
        <v>38050</v>
      </c>
      <c r="E44" s="9" t="n">
        <f aca="false">D44/2000</f>
        <v>19.025</v>
      </c>
      <c r="F44" s="8" t="n">
        <v>33320</v>
      </c>
      <c r="G44" s="9" t="n">
        <f aca="false">F44/2000</f>
        <v>16.66</v>
      </c>
      <c r="H44" s="8" t="n">
        <f aca="false">D44-F44</f>
        <v>4730</v>
      </c>
      <c r="I44" s="9" t="n">
        <f aca="false">H44/2000</f>
        <v>2.365</v>
      </c>
      <c r="J44" s="10" t="n">
        <f aca="false">L44+N44+P44+R44+T44+V44+X44</f>
        <v>1.03</v>
      </c>
      <c r="K44" s="9" t="n">
        <f aca="false">I44*J44</f>
        <v>2.43595</v>
      </c>
      <c r="L44" s="10" t="n">
        <v>0.1</v>
      </c>
      <c r="M44" s="9" t="n">
        <f aca="false">I44*L44</f>
        <v>0.2365</v>
      </c>
      <c r="N44" s="10" t="n">
        <v>0</v>
      </c>
      <c r="O44" s="9" t="n">
        <f aca="false">I44*N44</f>
        <v>0</v>
      </c>
      <c r="P44" s="10" t="n">
        <v>0.05</v>
      </c>
      <c r="Q44" s="9" t="n">
        <f aca="false">I44*P44</f>
        <v>0.11825</v>
      </c>
      <c r="R44" s="10" t="n">
        <v>0.11</v>
      </c>
      <c r="S44" s="9" t="n">
        <f aca="false">I44*R44</f>
        <v>0.26015</v>
      </c>
      <c r="T44" s="10" t="n">
        <v>0.77</v>
      </c>
      <c r="U44" s="9" t="n">
        <f aca="false">I44*T44</f>
        <v>1.82105</v>
      </c>
      <c r="V44" s="10" t="n">
        <v>0</v>
      </c>
      <c r="W44" s="9" t="n">
        <f aca="false">I44*V44</f>
        <v>0</v>
      </c>
      <c r="X44" s="10" t="n">
        <v>0</v>
      </c>
      <c r="Y44" s="9" t="n">
        <f aca="false">I44*X44</f>
        <v>0</v>
      </c>
      <c r="Z44" s="11" t="s">
        <v>48</v>
      </c>
      <c r="AA44" s="12" t="s">
        <v>49</v>
      </c>
    </row>
    <row r="45" customFormat="false" ht="15" hidden="false" customHeight="false" outlineLevel="0" collapsed="false">
      <c r="A45" s="6" t="s">
        <v>95</v>
      </c>
      <c r="B45" s="6" t="s">
        <v>96</v>
      </c>
      <c r="C45" s="7" t="s">
        <v>54</v>
      </c>
      <c r="D45" s="8" t="n">
        <v>37450</v>
      </c>
      <c r="E45" s="9" t="n">
        <f aca="false">D45/2000</f>
        <v>18.725</v>
      </c>
      <c r="F45" s="8" t="n">
        <v>32540</v>
      </c>
      <c r="G45" s="9" t="n">
        <f aca="false">F45/2000</f>
        <v>16.27</v>
      </c>
      <c r="H45" s="8" t="n">
        <f aca="false">D45-F45</f>
        <v>4910</v>
      </c>
      <c r="I45" s="9" t="n">
        <f aca="false">H45/2000</f>
        <v>2.455</v>
      </c>
      <c r="J45" s="10" t="n">
        <f aca="false">L45+N45+P45+R45+T45+V45+X45</f>
        <v>0.64</v>
      </c>
      <c r="K45" s="9" t="n">
        <f aca="false">I45*J45</f>
        <v>1.5712</v>
      </c>
      <c r="L45" s="10" t="n">
        <v>0.34</v>
      </c>
      <c r="M45" s="9" t="n">
        <f aca="false">I45*L45</f>
        <v>0.8347</v>
      </c>
      <c r="N45" s="10" t="n">
        <v>0</v>
      </c>
      <c r="O45" s="9" t="n">
        <f aca="false">I45*N45</f>
        <v>0</v>
      </c>
      <c r="P45" s="10" t="n">
        <v>0</v>
      </c>
      <c r="Q45" s="9" t="n">
        <f aca="false">I45*P45</f>
        <v>0</v>
      </c>
      <c r="R45" s="10" t="n">
        <v>0.16</v>
      </c>
      <c r="S45" s="9" t="n">
        <f aca="false">I45*R45</f>
        <v>0.3928</v>
      </c>
      <c r="T45" s="10" t="n">
        <v>0.11</v>
      </c>
      <c r="U45" s="9" t="n">
        <f aca="false">I45*T45</f>
        <v>0.27005</v>
      </c>
      <c r="V45" s="10" t="n">
        <v>0.02</v>
      </c>
      <c r="W45" s="9" t="n">
        <f aca="false">I45*V45</f>
        <v>0.0491</v>
      </c>
      <c r="X45" s="10" t="n">
        <v>0.01</v>
      </c>
      <c r="Y45" s="9" t="n">
        <f aca="false">I45*X45</f>
        <v>0.02455</v>
      </c>
      <c r="Z45" s="13" t="s">
        <v>57</v>
      </c>
      <c r="AA45" s="12"/>
    </row>
    <row r="46" customFormat="false" ht="15" hidden="false" customHeight="false" outlineLevel="0" collapsed="false">
      <c r="A46" s="6" t="s">
        <v>97</v>
      </c>
      <c r="B46" s="6" t="s">
        <v>98</v>
      </c>
      <c r="C46" s="7" t="s">
        <v>54</v>
      </c>
      <c r="D46" s="8" t="n">
        <v>42990</v>
      </c>
      <c r="E46" s="9" t="n">
        <f aca="false">D46/2000</f>
        <v>21.495</v>
      </c>
      <c r="F46" s="8" t="n">
        <v>33320</v>
      </c>
      <c r="G46" s="9" t="n">
        <f aca="false">F46/2000</f>
        <v>16.66</v>
      </c>
      <c r="H46" s="8" t="n">
        <f aca="false">D46-F46</f>
        <v>9670</v>
      </c>
      <c r="I46" s="9" t="n">
        <f aca="false">H46/2000</f>
        <v>4.835</v>
      </c>
      <c r="J46" s="10" t="n">
        <f aca="false">L46+N46+P46+R46+T46+V46+X46</f>
        <v>1</v>
      </c>
      <c r="K46" s="9" t="n">
        <f aca="false">I46*J46</f>
        <v>4.835</v>
      </c>
      <c r="L46" s="10" t="n">
        <v>0.06</v>
      </c>
      <c r="M46" s="9" t="n">
        <f aca="false">I46*L46</f>
        <v>0.2901</v>
      </c>
      <c r="N46" s="10" t="n">
        <v>0</v>
      </c>
      <c r="O46" s="9" t="n">
        <f aca="false">I46*N46</f>
        <v>0</v>
      </c>
      <c r="P46" s="10" t="n">
        <v>0.06</v>
      </c>
      <c r="Q46" s="9" t="n">
        <f aca="false">I46*P46</f>
        <v>0.2901</v>
      </c>
      <c r="R46" s="10" t="n">
        <v>0.06</v>
      </c>
      <c r="S46" s="9" t="n">
        <f aca="false">I46*R46</f>
        <v>0.2901</v>
      </c>
      <c r="T46" s="10" t="n">
        <v>0.82</v>
      </c>
      <c r="U46" s="9" t="n">
        <f aca="false">I46*T46</f>
        <v>3.9647</v>
      </c>
      <c r="V46" s="10" t="n">
        <v>0</v>
      </c>
      <c r="W46" s="9" t="n">
        <f aca="false">I46*V46</f>
        <v>0</v>
      </c>
      <c r="X46" s="10" t="n">
        <v>0</v>
      </c>
      <c r="Y46" s="9" t="n">
        <f aca="false">I46*X46</f>
        <v>0</v>
      </c>
      <c r="Z46" s="11" t="s">
        <v>48</v>
      </c>
      <c r="AA46" s="12" t="s">
        <v>49</v>
      </c>
    </row>
    <row r="47" customFormat="false" ht="15" hidden="false" customHeight="false" outlineLevel="0" collapsed="false">
      <c r="A47" s="6" t="s">
        <v>97</v>
      </c>
      <c r="B47" s="6" t="s">
        <v>99</v>
      </c>
      <c r="C47" s="7" t="s">
        <v>54</v>
      </c>
      <c r="D47" s="8" t="n">
        <v>38400</v>
      </c>
      <c r="E47" s="9" t="n">
        <f aca="false">D47/2000</f>
        <v>19.2</v>
      </c>
      <c r="F47" s="8" t="n">
        <v>33200</v>
      </c>
      <c r="G47" s="9" t="n">
        <f aca="false">F47/2000</f>
        <v>16.6</v>
      </c>
      <c r="H47" s="8" t="n">
        <f aca="false">D47-F47</f>
        <v>5200</v>
      </c>
      <c r="I47" s="9" t="n">
        <f aca="false">H47/2000</f>
        <v>2.6</v>
      </c>
      <c r="J47" s="10" t="n">
        <f aca="false">L47+N47+P47+R47+T47+V47+X47</f>
        <v>0.91</v>
      </c>
      <c r="K47" s="9" t="n">
        <f aca="false">I47*J47</f>
        <v>2.366</v>
      </c>
      <c r="L47" s="10" t="n">
        <v>0.05</v>
      </c>
      <c r="M47" s="9" t="n">
        <f aca="false">I47*L47</f>
        <v>0.13</v>
      </c>
      <c r="N47" s="10" t="n">
        <v>0</v>
      </c>
      <c r="O47" s="9" t="n">
        <f aca="false">I47*N47</f>
        <v>0</v>
      </c>
      <c r="P47" s="10" t="n">
        <v>0.06</v>
      </c>
      <c r="Q47" s="9" t="n">
        <f aca="false">I47*P47</f>
        <v>0.156</v>
      </c>
      <c r="R47" s="10" t="n">
        <v>0.14</v>
      </c>
      <c r="S47" s="9" t="n">
        <f aca="false">I47*R47</f>
        <v>0.364</v>
      </c>
      <c r="T47" s="10" t="n">
        <v>0.66</v>
      </c>
      <c r="U47" s="9" t="n">
        <f aca="false">I47*T47</f>
        <v>1.716</v>
      </c>
      <c r="V47" s="10" t="n">
        <v>0</v>
      </c>
      <c r="W47" s="9" t="n">
        <f aca="false">I47*V47</f>
        <v>0</v>
      </c>
      <c r="X47" s="10" t="n">
        <v>0</v>
      </c>
      <c r="Y47" s="9" t="n">
        <f aca="false">I47*X47</f>
        <v>0</v>
      </c>
      <c r="Z47" s="11" t="s">
        <v>48</v>
      </c>
      <c r="AA47" s="12" t="s">
        <v>49</v>
      </c>
    </row>
    <row r="48" customFormat="false" ht="15" hidden="false" customHeight="false" outlineLevel="0" collapsed="false">
      <c r="A48" s="6" t="s">
        <v>100</v>
      </c>
      <c r="B48" s="6" t="s">
        <v>101</v>
      </c>
      <c r="C48" s="7" t="s">
        <v>51</v>
      </c>
      <c r="D48" s="8" t="n">
        <v>35480</v>
      </c>
      <c r="E48" s="9" t="n">
        <f aca="false">D48/2000</f>
        <v>17.74</v>
      </c>
      <c r="F48" s="8" t="n">
        <v>33440</v>
      </c>
      <c r="G48" s="9" t="n">
        <f aca="false">F48/2000</f>
        <v>16.72</v>
      </c>
      <c r="H48" s="8" t="n">
        <f aca="false">D48-F48</f>
        <v>2040</v>
      </c>
      <c r="I48" s="9" t="n">
        <f aca="false">H48/2000</f>
        <v>1.02</v>
      </c>
      <c r="J48" s="10" t="n">
        <f aca="false">L48+N48+P48+R48+T48+V48+X48</f>
        <v>0.82</v>
      </c>
      <c r="K48" s="9" t="n">
        <f aca="false">I48*J48</f>
        <v>0.8364</v>
      </c>
      <c r="L48" s="10" t="n">
        <v>0</v>
      </c>
      <c r="M48" s="9" t="n">
        <f aca="false">I48*L48</f>
        <v>0</v>
      </c>
      <c r="N48" s="10" t="n">
        <v>0</v>
      </c>
      <c r="O48" s="9" t="n">
        <f aca="false">I48*N48</f>
        <v>0</v>
      </c>
      <c r="P48" s="10" t="n">
        <v>0.06</v>
      </c>
      <c r="Q48" s="9" t="n">
        <f aca="false">I48*P48</f>
        <v>0.0612</v>
      </c>
      <c r="R48" s="10" t="n">
        <v>0.11</v>
      </c>
      <c r="S48" s="9" t="n">
        <f aca="false">I48*R48</f>
        <v>0.1122</v>
      </c>
      <c r="T48" s="10" t="n">
        <v>0.65</v>
      </c>
      <c r="U48" s="9" t="n">
        <f aca="false">I48*T48</f>
        <v>0.663</v>
      </c>
      <c r="V48" s="10" t="n">
        <v>0</v>
      </c>
      <c r="W48" s="9" t="n">
        <f aca="false">I48*V48</f>
        <v>0</v>
      </c>
      <c r="X48" s="10" t="n">
        <v>0</v>
      </c>
      <c r="Y48" s="9" t="n">
        <f aca="false">I48*X48</f>
        <v>0</v>
      </c>
      <c r="Z48" s="11" t="s">
        <v>48</v>
      </c>
      <c r="AA48" s="12" t="s">
        <v>49</v>
      </c>
    </row>
    <row r="49" customFormat="false" ht="15" hidden="false" customHeight="false" outlineLevel="0" collapsed="false">
      <c r="A49" s="6" t="s">
        <v>100</v>
      </c>
      <c r="B49" s="6" t="s">
        <v>102</v>
      </c>
      <c r="C49" s="7" t="s">
        <v>47</v>
      </c>
      <c r="D49" s="8" t="n">
        <v>40450</v>
      </c>
      <c r="E49" s="9" t="n">
        <f aca="false">D49/2000</f>
        <v>20.225</v>
      </c>
      <c r="F49" s="8" t="n">
        <v>33200</v>
      </c>
      <c r="G49" s="9" t="n">
        <f aca="false">F49/2000</f>
        <v>16.6</v>
      </c>
      <c r="H49" s="8" t="n">
        <f aca="false">D49-F49</f>
        <v>7250</v>
      </c>
      <c r="I49" s="9" t="n">
        <f aca="false">H49/2000</f>
        <v>3.625</v>
      </c>
      <c r="J49" s="10" t="n">
        <f aca="false">L49+N49+P49+R49+T49+V49+X49</f>
        <v>1.04</v>
      </c>
      <c r="K49" s="9" t="n">
        <f aca="false">I49*J49</f>
        <v>3.77</v>
      </c>
      <c r="L49" s="10" t="n">
        <v>0.12</v>
      </c>
      <c r="M49" s="9" t="n">
        <f aca="false">I49*L49</f>
        <v>0.435</v>
      </c>
      <c r="N49" s="10" t="n">
        <v>0</v>
      </c>
      <c r="O49" s="9" t="n">
        <f aca="false">I49*N49</f>
        <v>0</v>
      </c>
      <c r="P49" s="10" t="n">
        <v>0.07</v>
      </c>
      <c r="Q49" s="9" t="n">
        <f aca="false">I49*P49</f>
        <v>0.25375</v>
      </c>
      <c r="R49" s="10" t="n">
        <v>0.08</v>
      </c>
      <c r="S49" s="9" t="n">
        <f aca="false">I49*R49</f>
        <v>0.29</v>
      </c>
      <c r="T49" s="10" t="n">
        <v>0.77</v>
      </c>
      <c r="U49" s="9" t="n">
        <f aca="false">I49*T49</f>
        <v>2.79125</v>
      </c>
      <c r="V49" s="10" t="n">
        <v>0</v>
      </c>
      <c r="W49" s="9" t="n">
        <f aca="false">I49*V49</f>
        <v>0</v>
      </c>
      <c r="X49" s="10" t="n">
        <v>0</v>
      </c>
      <c r="Y49" s="9" t="n">
        <f aca="false">I49*X49</f>
        <v>0</v>
      </c>
      <c r="Z49" s="11" t="s">
        <v>48</v>
      </c>
      <c r="AA49" s="12" t="s">
        <v>49</v>
      </c>
    </row>
    <row r="50" customFormat="false" ht="15" hidden="false" customHeight="false" outlineLevel="0" collapsed="false">
      <c r="A50" s="6" t="s">
        <v>103</v>
      </c>
      <c r="B50" s="6" t="s">
        <v>104</v>
      </c>
      <c r="C50" s="7" t="s">
        <v>47</v>
      </c>
      <c r="D50" s="8" t="n">
        <v>42190</v>
      </c>
      <c r="E50" s="9" t="n">
        <f aca="false">D50/2000</f>
        <v>21.095</v>
      </c>
      <c r="F50" s="8" t="n">
        <v>32540</v>
      </c>
      <c r="G50" s="9" t="n">
        <f aca="false">F50/2000</f>
        <v>16.27</v>
      </c>
      <c r="H50" s="8" t="n">
        <f aca="false">D50-F50</f>
        <v>9650</v>
      </c>
      <c r="I50" s="9" t="n">
        <f aca="false">H50/2000</f>
        <v>4.825</v>
      </c>
      <c r="J50" s="10" t="n">
        <f aca="false">L50+N50+P50+R50+T50+V50+X50</f>
        <v>0.64</v>
      </c>
      <c r="K50" s="9" t="n">
        <f aca="false">I50*J50</f>
        <v>3.088</v>
      </c>
      <c r="L50" s="10" t="n">
        <v>0.34</v>
      </c>
      <c r="M50" s="9" t="n">
        <f aca="false">I50*L50</f>
        <v>1.6405</v>
      </c>
      <c r="N50" s="10" t="n">
        <v>0</v>
      </c>
      <c r="O50" s="9" t="n">
        <f aca="false">I50*N50</f>
        <v>0</v>
      </c>
      <c r="P50" s="10" t="n">
        <v>0</v>
      </c>
      <c r="Q50" s="9" t="n">
        <f aca="false">I50*P50</f>
        <v>0</v>
      </c>
      <c r="R50" s="10" t="n">
        <v>0.16</v>
      </c>
      <c r="S50" s="9" t="n">
        <f aca="false">I50*R50</f>
        <v>0.772</v>
      </c>
      <c r="T50" s="10" t="n">
        <v>0.11</v>
      </c>
      <c r="U50" s="9" t="n">
        <f aca="false">I50*T50</f>
        <v>0.53075</v>
      </c>
      <c r="V50" s="10" t="n">
        <v>0.02</v>
      </c>
      <c r="W50" s="9" t="n">
        <f aca="false">I50*V50</f>
        <v>0.0965</v>
      </c>
      <c r="X50" s="10" t="n">
        <v>0.01</v>
      </c>
      <c r="Y50" s="9" t="n">
        <f aca="false">I50*X50</f>
        <v>0.04825</v>
      </c>
      <c r="Z50" s="13" t="s">
        <v>57</v>
      </c>
      <c r="AA50" s="12"/>
    </row>
    <row r="51" customFormat="false" ht="15" hidden="false" customHeight="false" outlineLevel="0" collapsed="false">
      <c r="A51" s="6" t="s">
        <v>103</v>
      </c>
      <c r="B51" s="6" t="s">
        <v>105</v>
      </c>
      <c r="C51" s="7" t="s">
        <v>90</v>
      </c>
      <c r="D51" s="8" t="n">
        <v>41470</v>
      </c>
      <c r="E51" s="9" t="n">
        <f aca="false">D51/2000</f>
        <v>20.735</v>
      </c>
      <c r="F51" s="8" t="n">
        <v>32600</v>
      </c>
      <c r="G51" s="9" t="n">
        <f aca="false">F51/2000</f>
        <v>16.3</v>
      </c>
      <c r="H51" s="8" t="n">
        <f aca="false">D51-F51</f>
        <v>8870</v>
      </c>
      <c r="I51" s="9" t="n">
        <f aca="false">H51/2000</f>
        <v>4.435</v>
      </c>
      <c r="J51" s="10" t="n">
        <f aca="false">L51+N51+P51+R51+T51+V51+X51</f>
        <v>1.06</v>
      </c>
      <c r="K51" s="9" t="n">
        <f aca="false">I51*J51</f>
        <v>4.7011</v>
      </c>
      <c r="L51" s="10" t="n">
        <v>0.11</v>
      </c>
      <c r="M51" s="9" t="n">
        <f aca="false">I51*L51</f>
        <v>0.48785</v>
      </c>
      <c r="N51" s="10" t="n">
        <v>0</v>
      </c>
      <c r="O51" s="9" t="n">
        <f aca="false">I51*N51</f>
        <v>0</v>
      </c>
      <c r="P51" s="10" t="n">
        <v>0.05</v>
      </c>
      <c r="Q51" s="9" t="n">
        <f aca="false">I51*P51</f>
        <v>0.22175</v>
      </c>
      <c r="R51" s="10" t="n">
        <v>0.13</v>
      </c>
      <c r="S51" s="9" t="n">
        <f aca="false">I51*R51</f>
        <v>0.57655</v>
      </c>
      <c r="T51" s="10" t="n">
        <v>0.77</v>
      </c>
      <c r="U51" s="9" t="n">
        <f aca="false">I51*T51</f>
        <v>3.41495</v>
      </c>
      <c r="V51" s="10" t="n">
        <v>0</v>
      </c>
      <c r="W51" s="9" t="n">
        <f aca="false">I51*V51</f>
        <v>0</v>
      </c>
      <c r="X51" s="10" t="n">
        <v>0</v>
      </c>
      <c r="Y51" s="9" t="n">
        <f aca="false">I51*X51</f>
        <v>0</v>
      </c>
      <c r="Z51" s="11" t="s">
        <v>48</v>
      </c>
      <c r="AA51" s="12" t="s">
        <v>49</v>
      </c>
    </row>
    <row r="52" customFormat="false" ht="15" hidden="false" customHeight="false" outlineLevel="0" collapsed="false">
      <c r="A52" s="6" t="s">
        <v>103</v>
      </c>
      <c r="B52" s="6" t="s">
        <v>106</v>
      </c>
      <c r="C52" s="7" t="s">
        <v>51</v>
      </c>
      <c r="D52" s="8" t="n">
        <v>35400</v>
      </c>
      <c r="E52" s="9" t="n">
        <f aca="false">D52/2000</f>
        <v>17.7</v>
      </c>
      <c r="F52" s="8" t="n">
        <v>32600</v>
      </c>
      <c r="G52" s="9" t="n">
        <f aca="false">F52/2000</f>
        <v>16.3</v>
      </c>
      <c r="H52" s="8" t="n">
        <f aca="false">D52-F52</f>
        <v>2800</v>
      </c>
      <c r="I52" s="9" t="n">
        <f aca="false">H52/2000</f>
        <v>1.4</v>
      </c>
      <c r="J52" s="10" t="n">
        <f aca="false">L52+N52+P52+R52+T52+V52+X52</f>
        <v>1.05</v>
      </c>
      <c r="K52" s="9" t="n">
        <f aca="false">I52*J52</f>
        <v>1.47</v>
      </c>
      <c r="L52" s="10" t="n">
        <v>0.04</v>
      </c>
      <c r="M52" s="9" t="n">
        <f aca="false">I52*L52</f>
        <v>0.056</v>
      </c>
      <c r="N52" s="10" t="n">
        <v>0</v>
      </c>
      <c r="O52" s="9" t="n">
        <f aca="false">I52*N52</f>
        <v>0</v>
      </c>
      <c r="P52" s="10" t="n">
        <v>0.02</v>
      </c>
      <c r="Q52" s="9" t="n">
        <f aca="false">I52*P52</f>
        <v>0.028</v>
      </c>
      <c r="R52" s="10" t="n">
        <v>0.14</v>
      </c>
      <c r="S52" s="9" t="n">
        <f aca="false">I52*R52</f>
        <v>0.196</v>
      </c>
      <c r="T52" s="10" t="n">
        <v>0.85</v>
      </c>
      <c r="U52" s="9" t="n">
        <f aca="false">I52*T52</f>
        <v>1.19</v>
      </c>
      <c r="V52" s="10" t="n">
        <v>0</v>
      </c>
      <c r="W52" s="9" t="n">
        <f aca="false">I52*V52</f>
        <v>0</v>
      </c>
      <c r="X52" s="10" t="n">
        <v>0</v>
      </c>
      <c r="Y52" s="9" t="n">
        <f aca="false">I52*X52</f>
        <v>0</v>
      </c>
      <c r="Z52" s="11" t="s">
        <v>48</v>
      </c>
      <c r="AA52" s="12" t="s">
        <v>49</v>
      </c>
    </row>
    <row r="53" customFormat="false" ht="15" hidden="false" customHeight="false" outlineLevel="0" collapsed="false">
      <c r="A53" s="6" t="s">
        <v>107</v>
      </c>
      <c r="B53" s="6" t="s">
        <v>108</v>
      </c>
      <c r="C53" s="7" t="s">
        <v>90</v>
      </c>
      <c r="D53" s="8" t="n">
        <v>38570</v>
      </c>
      <c r="E53" s="9" t="n">
        <f aca="false">D53/2000</f>
        <v>19.285</v>
      </c>
      <c r="F53" s="8" t="n">
        <v>32600</v>
      </c>
      <c r="G53" s="9" t="n">
        <f aca="false">F53/2000</f>
        <v>16.3</v>
      </c>
      <c r="H53" s="8" t="n">
        <f aca="false">D53-F53</f>
        <v>5970</v>
      </c>
      <c r="I53" s="9" t="n">
        <f aca="false">H53/2000</f>
        <v>2.985</v>
      </c>
      <c r="J53" s="10" t="n">
        <f aca="false">L53+N53+P53+R53+T53+V53+X53</f>
        <v>1</v>
      </c>
      <c r="K53" s="9" t="n">
        <f aca="false">I53*J53</f>
        <v>2.985</v>
      </c>
      <c r="L53" s="10" t="n">
        <v>0.06</v>
      </c>
      <c r="M53" s="9" t="n">
        <f aca="false">I53*L53</f>
        <v>0.1791</v>
      </c>
      <c r="N53" s="10" t="n">
        <v>0</v>
      </c>
      <c r="O53" s="9" t="n">
        <f aca="false">I53*N53</f>
        <v>0</v>
      </c>
      <c r="P53" s="10" t="n">
        <v>0.07</v>
      </c>
      <c r="Q53" s="9" t="n">
        <f aca="false">I53*P53</f>
        <v>0.20895</v>
      </c>
      <c r="R53" s="10" t="n">
        <v>0.08</v>
      </c>
      <c r="S53" s="9" t="n">
        <f aca="false">I53*R53</f>
        <v>0.2388</v>
      </c>
      <c r="T53" s="10" t="n">
        <v>0.79</v>
      </c>
      <c r="U53" s="9" t="n">
        <f aca="false">I53*T53</f>
        <v>2.35815</v>
      </c>
      <c r="V53" s="10" t="n">
        <v>0</v>
      </c>
      <c r="W53" s="9" t="n">
        <f aca="false">I53*V53</f>
        <v>0</v>
      </c>
      <c r="X53" s="10" t="n">
        <v>0</v>
      </c>
      <c r="Y53" s="9" t="n">
        <f aca="false">I53*X53</f>
        <v>0</v>
      </c>
      <c r="Z53" s="11" t="s">
        <v>48</v>
      </c>
      <c r="AA53" s="12" t="s">
        <v>49</v>
      </c>
    </row>
    <row r="54" customFormat="false" ht="15" hidden="false" customHeight="false" outlineLevel="0" collapsed="false">
      <c r="A54" s="6" t="s">
        <v>109</v>
      </c>
      <c r="B54" s="6" t="s">
        <v>110</v>
      </c>
      <c r="C54" s="7" t="s">
        <v>47</v>
      </c>
      <c r="D54" s="8" t="n">
        <v>36450</v>
      </c>
      <c r="E54" s="9" t="n">
        <f aca="false">D54/2000</f>
        <v>18.225</v>
      </c>
      <c r="F54" s="8" t="n">
        <v>33320</v>
      </c>
      <c r="G54" s="9" t="n">
        <f aca="false">F54/2000</f>
        <v>16.66</v>
      </c>
      <c r="H54" s="8" t="n">
        <f aca="false">D54-F54</f>
        <v>3130</v>
      </c>
      <c r="I54" s="9" t="n">
        <f aca="false">H54/2000</f>
        <v>1.565</v>
      </c>
      <c r="J54" s="10" t="n">
        <f aca="false">L54+N54+P54+R54+T54+V54+X54</f>
        <v>0.81</v>
      </c>
      <c r="K54" s="9" t="n">
        <f aca="false">I54*J54</f>
        <v>1.26765</v>
      </c>
      <c r="L54" s="10" t="n">
        <v>0</v>
      </c>
      <c r="M54" s="9" t="n">
        <f aca="false">I54*L54</f>
        <v>0</v>
      </c>
      <c r="N54" s="10" t="n">
        <v>0</v>
      </c>
      <c r="O54" s="9" t="n">
        <f aca="false">I54*N54</f>
        <v>0</v>
      </c>
      <c r="P54" s="10" t="n">
        <v>0.04</v>
      </c>
      <c r="Q54" s="9" t="n">
        <f aca="false">I54*P54</f>
        <v>0.0626</v>
      </c>
      <c r="R54" s="10" t="n">
        <v>0.07</v>
      </c>
      <c r="S54" s="9" t="n">
        <f aca="false">I54*R54</f>
        <v>0.10955</v>
      </c>
      <c r="T54" s="10" t="n">
        <v>0.7</v>
      </c>
      <c r="U54" s="9" t="n">
        <f aca="false">I54*T54</f>
        <v>1.0955</v>
      </c>
      <c r="V54" s="10" t="n">
        <v>0</v>
      </c>
      <c r="W54" s="9" t="n">
        <f aca="false">I54*V54</f>
        <v>0</v>
      </c>
      <c r="X54" s="10" t="n">
        <v>0</v>
      </c>
      <c r="Y54" s="9" t="n">
        <f aca="false">I54*X54</f>
        <v>0</v>
      </c>
      <c r="Z54" s="11" t="s">
        <v>48</v>
      </c>
      <c r="AA54" s="12" t="s">
        <v>49</v>
      </c>
    </row>
    <row r="55" customFormat="false" ht="15" hidden="false" customHeight="false" outlineLevel="0" collapsed="false">
      <c r="A55" s="6" t="s">
        <v>111</v>
      </c>
      <c r="B55" s="6" t="s">
        <v>112</v>
      </c>
      <c r="C55" s="7" t="s">
        <v>54</v>
      </c>
      <c r="D55" s="8" t="n">
        <v>42210</v>
      </c>
      <c r="E55" s="9" t="n">
        <f aca="false">D55/2000</f>
        <v>21.105</v>
      </c>
      <c r="F55" s="8" t="n">
        <v>33320</v>
      </c>
      <c r="G55" s="9" t="n">
        <f aca="false">F55/2000</f>
        <v>16.66</v>
      </c>
      <c r="H55" s="8" t="n">
        <f aca="false">D55-F55</f>
        <v>8890</v>
      </c>
      <c r="I55" s="9" t="n">
        <f aca="false">H55/2000</f>
        <v>4.445</v>
      </c>
      <c r="J55" s="10" t="n">
        <f aca="false">L55+N55+P55+R55+T55+V55+X55</f>
        <v>1.15</v>
      </c>
      <c r="K55" s="9" t="n">
        <f aca="false">I55*J55</f>
        <v>5.11175</v>
      </c>
      <c r="L55" s="10" t="n">
        <v>0.09</v>
      </c>
      <c r="M55" s="9" t="n">
        <f aca="false">I55*L55</f>
        <v>0.40005</v>
      </c>
      <c r="N55" s="10" t="n">
        <v>0</v>
      </c>
      <c r="O55" s="9" t="n">
        <f aca="false">I55*N55</f>
        <v>0</v>
      </c>
      <c r="P55" s="10" t="n">
        <v>0.08</v>
      </c>
      <c r="Q55" s="9" t="n">
        <f aca="false">I55*P55</f>
        <v>0.3556</v>
      </c>
      <c r="R55" s="10" t="n">
        <v>0.14</v>
      </c>
      <c r="S55" s="9" t="n">
        <f aca="false">I55*R55</f>
        <v>0.6223</v>
      </c>
      <c r="T55" s="10" t="n">
        <v>0.84</v>
      </c>
      <c r="U55" s="9" t="n">
        <f aca="false">I55*T55</f>
        <v>3.7338</v>
      </c>
      <c r="V55" s="10" t="n">
        <v>0</v>
      </c>
      <c r="W55" s="9" t="n">
        <f aca="false">I55*V55</f>
        <v>0</v>
      </c>
      <c r="X55" s="10" t="n">
        <v>0</v>
      </c>
      <c r="Y55" s="9" t="n">
        <f aca="false">I55*X55</f>
        <v>0</v>
      </c>
      <c r="Z55" s="11" t="s">
        <v>48</v>
      </c>
      <c r="AA55" s="12" t="s">
        <v>49</v>
      </c>
    </row>
    <row r="56" customFormat="false" ht="15" hidden="false" customHeight="false" outlineLevel="0" collapsed="false">
      <c r="A56" s="6" t="s">
        <v>111</v>
      </c>
      <c r="B56" s="6" t="s">
        <v>113</v>
      </c>
      <c r="C56" s="7" t="s">
        <v>54</v>
      </c>
      <c r="D56" s="8" t="n">
        <v>37270</v>
      </c>
      <c r="E56" s="9" t="n">
        <f aca="false">D56/2000</f>
        <v>18.635</v>
      </c>
      <c r="F56" s="8" t="n">
        <v>32620</v>
      </c>
      <c r="G56" s="9" t="n">
        <f aca="false">F56/2000</f>
        <v>16.31</v>
      </c>
      <c r="H56" s="8" t="n">
        <f aca="false">D56-F56</f>
        <v>4650</v>
      </c>
      <c r="I56" s="9" t="n">
        <f aca="false">H56/2000</f>
        <v>2.325</v>
      </c>
      <c r="J56" s="10" t="n">
        <f aca="false">L56+N56+P56+R56+T56+V56+X56</f>
        <v>0.93</v>
      </c>
      <c r="K56" s="9" t="n">
        <f aca="false">I56*J56</f>
        <v>2.16225</v>
      </c>
      <c r="L56" s="10" t="n">
        <v>0.03</v>
      </c>
      <c r="M56" s="9" t="n">
        <f aca="false">I56*L56</f>
        <v>0.06975</v>
      </c>
      <c r="N56" s="10" t="n">
        <v>0</v>
      </c>
      <c r="O56" s="9" t="n">
        <f aca="false">I56*N56</f>
        <v>0</v>
      </c>
      <c r="P56" s="10" t="n">
        <v>0.02</v>
      </c>
      <c r="Q56" s="9" t="n">
        <f aca="false">I56*P56</f>
        <v>0.0465</v>
      </c>
      <c r="R56" s="10" t="n">
        <v>0.09</v>
      </c>
      <c r="S56" s="9" t="n">
        <f aca="false">I56*R56</f>
        <v>0.20925</v>
      </c>
      <c r="T56" s="10" t="n">
        <v>0.79</v>
      </c>
      <c r="U56" s="9" t="n">
        <f aca="false">I56*T56</f>
        <v>1.83675</v>
      </c>
      <c r="V56" s="10" t="n">
        <v>0</v>
      </c>
      <c r="W56" s="9" t="n">
        <f aca="false">I56*V56</f>
        <v>0</v>
      </c>
      <c r="X56" s="10" t="n">
        <v>0</v>
      </c>
      <c r="Y56" s="9" t="n">
        <f aca="false">I56*X56</f>
        <v>0</v>
      </c>
      <c r="Z56" s="11" t="s">
        <v>48</v>
      </c>
      <c r="AA56" s="12" t="s">
        <v>49</v>
      </c>
    </row>
    <row r="57" customFormat="false" ht="15" hidden="false" customHeight="false" outlineLevel="0" collapsed="false">
      <c r="A57" s="6" t="s">
        <v>114</v>
      </c>
      <c r="B57" s="6" t="s">
        <v>115</v>
      </c>
      <c r="C57" s="7" t="s">
        <v>47</v>
      </c>
      <c r="D57" s="8" t="n">
        <v>35670</v>
      </c>
      <c r="E57" s="9" t="n">
        <f aca="false">D57/2000</f>
        <v>17.835</v>
      </c>
      <c r="F57" s="8" t="n">
        <v>33440</v>
      </c>
      <c r="G57" s="9" t="n">
        <f aca="false">F57/2000</f>
        <v>16.72</v>
      </c>
      <c r="H57" s="8" t="n">
        <f aca="false">D57-F57</f>
        <v>2230</v>
      </c>
      <c r="I57" s="9" t="n">
        <f aca="false">H57/2000</f>
        <v>1.115</v>
      </c>
      <c r="J57" s="10" t="n">
        <f aca="false">L57+N57+P57+R57+T57+V57+X57</f>
        <v>1.03</v>
      </c>
      <c r="K57" s="9" t="n">
        <f aca="false">I57*J57</f>
        <v>1.14845</v>
      </c>
      <c r="L57" s="10" t="n">
        <v>0.04</v>
      </c>
      <c r="M57" s="9" t="n">
        <f aca="false">I57*L57</f>
        <v>0.0446</v>
      </c>
      <c r="N57" s="10" t="n">
        <v>0</v>
      </c>
      <c r="O57" s="9" t="n">
        <f aca="false">I57*N57</f>
        <v>0</v>
      </c>
      <c r="P57" s="10" t="n">
        <v>0.04</v>
      </c>
      <c r="Q57" s="9" t="n">
        <f aca="false">I57*P57</f>
        <v>0.0446</v>
      </c>
      <c r="R57" s="10" t="n">
        <v>0.12</v>
      </c>
      <c r="S57" s="9" t="n">
        <f aca="false">I57*R57</f>
        <v>0.1338</v>
      </c>
      <c r="T57" s="10" t="n">
        <v>0.83</v>
      </c>
      <c r="U57" s="9" t="n">
        <f aca="false">I57*T57</f>
        <v>0.92545</v>
      </c>
      <c r="V57" s="10" t="n">
        <v>0</v>
      </c>
      <c r="W57" s="9" t="n">
        <f aca="false">I57*V57</f>
        <v>0</v>
      </c>
      <c r="X57" s="10" t="n">
        <v>0</v>
      </c>
      <c r="Y57" s="9" t="n">
        <f aca="false">I57*X57</f>
        <v>0</v>
      </c>
      <c r="Z57" s="11" t="s">
        <v>48</v>
      </c>
      <c r="AA57" s="12" t="s">
        <v>49</v>
      </c>
    </row>
    <row r="58" customFormat="false" ht="15" hidden="false" customHeight="false" outlineLevel="0" collapsed="false">
      <c r="A58" s="6" t="s">
        <v>114</v>
      </c>
      <c r="B58" s="6" t="s">
        <v>116</v>
      </c>
      <c r="C58" s="7" t="s">
        <v>54</v>
      </c>
      <c r="D58" s="8" t="n">
        <v>35030</v>
      </c>
      <c r="E58" s="9" t="n">
        <f aca="false">D58/2000</f>
        <v>17.515</v>
      </c>
      <c r="F58" s="8" t="n">
        <v>32600</v>
      </c>
      <c r="G58" s="9" t="n">
        <f aca="false">F58/2000</f>
        <v>16.3</v>
      </c>
      <c r="H58" s="8" t="n">
        <f aca="false">D58-F58</f>
        <v>2430</v>
      </c>
      <c r="I58" s="9" t="n">
        <f aca="false">H58/2000</f>
        <v>1.215</v>
      </c>
      <c r="J58" s="10" t="n">
        <f aca="false">L58+N58+P58+R58+T58+V58+X58</f>
        <v>1.01</v>
      </c>
      <c r="K58" s="9" t="n">
        <f aca="false">I58*J58</f>
        <v>1.22715</v>
      </c>
      <c r="L58" s="10" t="n">
        <v>0.04</v>
      </c>
      <c r="M58" s="9" t="n">
        <f aca="false">I58*L58</f>
        <v>0.0486</v>
      </c>
      <c r="N58" s="10" t="n">
        <v>0</v>
      </c>
      <c r="O58" s="9" t="n">
        <f aca="false">I58*N58</f>
        <v>0</v>
      </c>
      <c r="P58" s="10" t="n">
        <v>0.06</v>
      </c>
      <c r="Q58" s="9" t="n">
        <f aca="false">I58*P58</f>
        <v>0.0729</v>
      </c>
      <c r="R58" s="10" t="n">
        <v>0.05</v>
      </c>
      <c r="S58" s="9" t="n">
        <f aca="false">I58*R58</f>
        <v>0.06075</v>
      </c>
      <c r="T58" s="10" t="n">
        <v>0.86</v>
      </c>
      <c r="U58" s="9" t="n">
        <f aca="false">I58*T58</f>
        <v>1.0449</v>
      </c>
      <c r="V58" s="10" t="n">
        <v>0</v>
      </c>
      <c r="W58" s="9" t="n">
        <f aca="false">I58*V58</f>
        <v>0</v>
      </c>
      <c r="X58" s="10" t="n">
        <v>0</v>
      </c>
      <c r="Y58" s="9" t="n">
        <f aca="false">I58*X58</f>
        <v>0</v>
      </c>
      <c r="Z58" s="11" t="s">
        <v>48</v>
      </c>
      <c r="AA58" s="12" t="s">
        <v>49</v>
      </c>
    </row>
    <row r="59" customFormat="false" ht="15" hidden="false" customHeight="false" outlineLevel="0" collapsed="false">
      <c r="A59" s="6" t="s">
        <v>114</v>
      </c>
      <c r="B59" s="6" t="s">
        <v>117</v>
      </c>
      <c r="C59" s="7" t="s">
        <v>47</v>
      </c>
      <c r="D59" s="8" t="n">
        <v>41620</v>
      </c>
      <c r="E59" s="9" t="n">
        <f aca="false">D59/2000</f>
        <v>20.81</v>
      </c>
      <c r="F59" s="8" t="n">
        <v>32620</v>
      </c>
      <c r="G59" s="9" t="n">
        <f aca="false">F59/2000</f>
        <v>16.31</v>
      </c>
      <c r="H59" s="8" t="n">
        <f aca="false">D59-F59</f>
        <v>9000</v>
      </c>
      <c r="I59" s="9" t="n">
        <f aca="false">H59/2000</f>
        <v>4.5</v>
      </c>
      <c r="J59" s="10" t="n">
        <f aca="false">L59+N59+P59+R59+T59+V59+X59</f>
        <v>0.97</v>
      </c>
      <c r="K59" s="9" t="n">
        <f aca="false">I59*J59</f>
        <v>4.365</v>
      </c>
      <c r="L59" s="10" t="n">
        <v>0.09</v>
      </c>
      <c r="M59" s="9" t="n">
        <f aca="false">I59*L59</f>
        <v>0.405</v>
      </c>
      <c r="N59" s="10" t="n">
        <v>0</v>
      </c>
      <c r="O59" s="9" t="n">
        <f aca="false">I59*N59</f>
        <v>0</v>
      </c>
      <c r="P59" s="10" t="n">
        <v>0.03</v>
      </c>
      <c r="Q59" s="9" t="n">
        <f aca="false">I59*P59</f>
        <v>0.135</v>
      </c>
      <c r="R59" s="10" t="n">
        <v>0.06</v>
      </c>
      <c r="S59" s="9" t="n">
        <f aca="false">I59*R59</f>
        <v>0.27</v>
      </c>
      <c r="T59" s="10" t="n">
        <v>0.79</v>
      </c>
      <c r="U59" s="9" t="n">
        <f aca="false">I59*T59</f>
        <v>3.555</v>
      </c>
      <c r="V59" s="10" t="n">
        <v>0</v>
      </c>
      <c r="W59" s="9" t="n">
        <f aca="false">I59*V59</f>
        <v>0</v>
      </c>
      <c r="X59" s="10" t="n">
        <v>0</v>
      </c>
      <c r="Y59" s="9" t="n">
        <f aca="false">I59*X59</f>
        <v>0</v>
      </c>
      <c r="Z59" s="11" t="s">
        <v>48</v>
      </c>
      <c r="AA59" s="12" t="s">
        <v>49</v>
      </c>
    </row>
    <row r="60" customFormat="false" ht="15" hidden="false" customHeight="false" outlineLevel="0" collapsed="false">
      <c r="A60" s="6" t="s">
        <v>114</v>
      </c>
      <c r="B60" s="6" t="s">
        <v>118</v>
      </c>
      <c r="C60" s="7" t="s">
        <v>47</v>
      </c>
      <c r="D60" s="8" t="n">
        <v>35820</v>
      </c>
      <c r="E60" s="9" t="n">
        <f aca="false">D60/2000</f>
        <v>17.91</v>
      </c>
      <c r="F60" s="8" t="n">
        <v>33320</v>
      </c>
      <c r="G60" s="9" t="n">
        <f aca="false">F60/2000</f>
        <v>16.66</v>
      </c>
      <c r="H60" s="8" t="n">
        <f aca="false">D60-F60</f>
        <v>2500</v>
      </c>
      <c r="I60" s="9" t="n">
        <f aca="false">H60/2000</f>
        <v>1.25</v>
      </c>
      <c r="J60" s="10" t="n">
        <f aca="false">L60+N60+P60+R60+T60+V60+X60</f>
        <v>0.95</v>
      </c>
      <c r="K60" s="9" t="n">
        <f aca="false">I60*J60</f>
        <v>1.1875</v>
      </c>
      <c r="L60" s="10" t="n">
        <v>0.04</v>
      </c>
      <c r="M60" s="9" t="n">
        <f aca="false">I60*L60</f>
        <v>0.05</v>
      </c>
      <c r="N60" s="10" t="n">
        <v>0</v>
      </c>
      <c r="O60" s="9" t="n">
        <f aca="false">I60*N60</f>
        <v>0</v>
      </c>
      <c r="P60" s="10" t="n">
        <v>0.08</v>
      </c>
      <c r="Q60" s="9" t="n">
        <f aca="false">I60*P60</f>
        <v>0.1</v>
      </c>
      <c r="R60" s="10" t="n">
        <v>0.06</v>
      </c>
      <c r="S60" s="9" t="n">
        <f aca="false">I60*R60</f>
        <v>0.075</v>
      </c>
      <c r="T60" s="10" t="n">
        <v>0.77</v>
      </c>
      <c r="U60" s="9" t="n">
        <f aca="false">I60*T60</f>
        <v>0.9625</v>
      </c>
      <c r="V60" s="10" t="n">
        <v>0</v>
      </c>
      <c r="W60" s="9" t="n">
        <f aca="false">I60*V60</f>
        <v>0</v>
      </c>
      <c r="X60" s="10" t="n">
        <v>0</v>
      </c>
      <c r="Y60" s="9" t="n">
        <f aca="false">I60*X60</f>
        <v>0</v>
      </c>
      <c r="Z60" s="11" t="s">
        <v>48</v>
      </c>
      <c r="AA60" s="12" t="s">
        <v>49</v>
      </c>
    </row>
    <row r="61" customFormat="false" ht="15" hidden="false" customHeight="false" outlineLevel="0" collapsed="false">
      <c r="A61" s="6" t="s">
        <v>114</v>
      </c>
      <c r="B61" s="6" t="s">
        <v>119</v>
      </c>
      <c r="C61" s="7" t="s">
        <v>54</v>
      </c>
      <c r="D61" s="8" t="n">
        <v>39010</v>
      </c>
      <c r="E61" s="9" t="n">
        <f aca="false">D61/2000</f>
        <v>19.505</v>
      </c>
      <c r="F61" s="8" t="n">
        <v>32540</v>
      </c>
      <c r="G61" s="9" t="n">
        <f aca="false">F61/2000</f>
        <v>16.27</v>
      </c>
      <c r="H61" s="8" t="n">
        <f aca="false">D61-F61</f>
        <v>6470</v>
      </c>
      <c r="I61" s="9" t="n">
        <f aca="false">H61/2000</f>
        <v>3.235</v>
      </c>
      <c r="J61" s="10" t="n">
        <f aca="false">L61+N61+P61+R61+T61+V61+X61</f>
        <v>0.64</v>
      </c>
      <c r="K61" s="9" t="n">
        <f aca="false">I61*J61</f>
        <v>2.0704</v>
      </c>
      <c r="L61" s="10" t="n">
        <v>0.34</v>
      </c>
      <c r="M61" s="9" t="n">
        <f aca="false">I61*L61</f>
        <v>1.0999</v>
      </c>
      <c r="N61" s="10" t="n">
        <v>0</v>
      </c>
      <c r="O61" s="9" t="n">
        <f aca="false">I61*N61</f>
        <v>0</v>
      </c>
      <c r="P61" s="10" t="n">
        <v>0</v>
      </c>
      <c r="Q61" s="9" t="n">
        <f aca="false">I61*P61</f>
        <v>0</v>
      </c>
      <c r="R61" s="10" t="n">
        <v>0.16</v>
      </c>
      <c r="S61" s="9" t="n">
        <f aca="false">I61*R61</f>
        <v>0.5176</v>
      </c>
      <c r="T61" s="10" t="n">
        <v>0.11</v>
      </c>
      <c r="U61" s="9" t="n">
        <f aca="false">I61*T61</f>
        <v>0.35585</v>
      </c>
      <c r="V61" s="10" t="n">
        <v>0.02</v>
      </c>
      <c r="W61" s="9" t="n">
        <f aca="false">I61*V61</f>
        <v>0.0647</v>
      </c>
      <c r="X61" s="10" t="n">
        <v>0.01</v>
      </c>
      <c r="Y61" s="9" t="n">
        <f aca="false">I61*X61</f>
        <v>0.03235</v>
      </c>
      <c r="Z61" s="13" t="s">
        <v>57</v>
      </c>
      <c r="AA61" s="12"/>
    </row>
    <row r="62" customFormat="false" ht="15" hidden="false" customHeight="false" outlineLevel="0" collapsed="false">
      <c r="A62" s="6" t="s">
        <v>114</v>
      </c>
      <c r="B62" s="6" t="s">
        <v>120</v>
      </c>
      <c r="C62" s="7" t="s">
        <v>54</v>
      </c>
      <c r="D62" s="8" t="n">
        <v>38480</v>
      </c>
      <c r="E62" s="9" t="n">
        <f aca="false">D62/2000</f>
        <v>19.24</v>
      </c>
      <c r="F62" s="8" t="n">
        <v>33320</v>
      </c>
      <c r="G62" s="9" t="n">
        <f aca="false">F62/2000</f>
        <v>16.66</v>
      </c>
      <c r="H62" s="8" t="n">
        <f aca="false">D62-F62</f>
        <v>5160</v>
      </c>
      <c r="I62" s="9" t="n">
        <f aca="false">H62/2000</f>
        <v>2.58</v>
      </c>
      <c r="J62" s="10" t="n">
        <f aca="false">L62+N62+P62+R62+T62+V62+X62</f>
        <v>0.97</v>
      </c>
      <c r="K62" s="9" t="n">
        <f aca="false">I62*J62</f>
        <v>2.5026</v>
      </c>
      <c r="L62" s="10" t="n">
        <v>0.03</v>
      </c>
      <c r="M62" s="9" t="n">
        <f aca="false">I62*L62</f>
        <v>0.0774</v>
      </c>
      <c r="N62" s="10" t="n">
        <v>0</v>
      </c>
      <c r="O62" s="9" t="n">
        <f aca="false">I62*N62</f>
        <v>0</v>
      </c>
      <c r="P62" s="10" t="n">
        <v>0.05</v>
      </c>
      <c r="Q62" s="9" t="n">
        <f aca="false">I62*P62</f>
        <v>0.129</v>
      </c>
      <c r="R62" s="10" t="n">
        <v>0.09</v>
      </c>
      <c r="S62" s="9" t="n">
        <f aca="false">I62*R62</f>
        <v>0.2322</v>
      </c>
      <c r="T62" s="10" t="n">
        <v>0.8</v>
      </c>
      <c r="U62" s="9" t="n">
        <f aca="false">I62*T62</f>
        <v>2.064</v>
      </c>
      <c r="V62" s="10" t="n">
        <v>0</v>
      </c>
      <c r="W62" s="9" t="n">
        <f aca="false">I62*V62</f>
        <v>0</v>
      </c>
      <c r="X62" s="10" t="n">
        <v>0</v>
      </c>
      <c r="Y62" s="9" t="n">
        <f aca="false">I62*X62</f>
        <v>0</v>
      </c>
      <c r="Z62" s="11" t="s">
        <v>48</v>
      </c>
      <c r="AA62" s="12" t="s">
        <v>49</v>
      </c>
    </row>
    <row r="63" customFormat="false" ht="15" hidden="false" customHeight="false" outlineLevel="0" collapsed="false">
      <c r="A63" s="6" t="s">
        <v>121</v>
      </c>
      <c r="B63" s="6" t="s">
        <v>122</v>
      </c>
      <c r="C63" s="7" t="s">
        <v>54</v>
      </c>
      <c r="D63" s="8" t="n">
        <v>39830</v>
      </c>
      <c r="E63" s="9" t="n">
        <f aca="false">D63/2000</f>
        <v>19.915</v>
      </c>
      <c r="F63" s="8" t="n">
        <v>33000</v>
      </c>
      <c r="G63" s="9" t="n">
        <f aca="false">F63/2000</f>
        <v>16.5</v>
      </c>
      <c r="H63" s="8" t="n">
        <f aca="false">D63-F63</f>
        <v>6830</v>
      </c>
      <c r="I63" s="9" t="n">
        <f aca="false">H63/2000</f>
        <v>3.415</v>
      </c>
      <c r="J63" s="10" t="n">
        <f aca="false">L63+N63+P63+R63+T63+V63+X63</f>
        <v>0.88</v>
      </c>
      <c r="K63" s="9" t="n">
        <f aca="false">I63*J63</f>
        <v>3.0052</v>
      </c>
      <c r="L63" s="10" t="n">
        <v>0.09</v>
      </c>
      <c r="M63" s="9" t="n">
        <f aca="false">I63*L63</f>
        <v>0.30735</v>
      </c>
      <c r="N63" s="10" t="n">
        <v>0</v>
      </c>
      <c r="O63" s="9" t="n">
        <f aca="false">I63*N63</f>
        <v>0</v>
      </c>
      <c r="P63" s="10" t="n">
        <v>0.05</v>
      </c>
      <c r="Q63" s="9" t="n">
        <f aca="false">I63*P63</f>
        <v>0.17075</v>
      </c>
      <c r="R63" s="10" t="n">
        <v>0.1</v>
      </c>
      <c r="S63" s="9" t="n">
        <f aca="false">I63*R63</f>
        <v>0.3415</v>
      </c>
      <c r="T63" s="10" t="n">
        <v>0.64</v>
      </c>
      <c r="U63" s="9" t="n">
        <f aca="false">I63*T63</f>
        <v>2.1856</v>
      </c>
      <c r="V63" s="10" t="n">
        <v>0</v>
      </c>
      <c r="W63" s="9" t="n">
        <f aca="false">I63*V63</f>
        <v>0</v>
      </c>
      <c r="X63" s="10" t="n">
        <v>0</v>
      </c>
      <c r="Y63" s="9" t="n">
        <f aca="false">I63*X63</f>
        <v>0</v>
      </c>
      <c r="Z63" s="11" t="s">
        <v>48</v>
      </c>
      <c r="AA63" s="12" t="s">
        <v>49</v>
      </c>
    </row>
    <row r="64" customFormat="false" ht="15" hidden="false" customHeight="false" outlineLevel="0" collapsed="false">
      <c r="A64" s="6" t="s">
        <v>121</v>
      </c>
      <c r="B64" s="6" t="s">
        <v>123</v>
      </c>
      <c r="C64" s="7" t="s">
        <v>54</v>
      </c>
      <c r="D64" s="8" t="n">
        <v>39600</v>
      </c>
      <c r="E64" s="9" t="n">
        <f aca="false">D64/2000</f>
        <v>19.8</v>
      </c>
      <c r="F64" s="8" t="n">
        <v>33440</v>
      </c>
      <c r="G64" s="9" t="n">
        <f aca="false">F64/2000</f>
        <v>16.72</v>
      </c>
      <c r="H64" s="8" t="n">
        <f aca="false">D64-F64</f>
        <v>6160</v>
      </c>
      <c r="I64" s="9" t="n">
        <f aca="false">H64/2000</f>
        <v>3.08</v>
      </c>
      <c r="J64" s="10" t="n">
        <f aca="false">L64+N64+P64+R64+T64+V64+X64</f>
        <v>1.01</v>
      </c>
      <c r="K64" s="9" t="n">
        <f aca="false">I64*J64</f>
        <v>3.1108</v>
      </c>
      <c r="L64" s="10" t="n">
        <v>0.09</v>
      </c>
      <c r="M64" s="9" t="n">
        <f aca="false">I64*L64</f>
        <v>0.2772</v>
      </c>
      <c r="N64" s="10" t="n">
        <v>0</v>
      </c>
      <c r="O64" s="9" t="n">
        <f aca="false">I64*N64</f>
        <v>0</v>
      </c>
      <c r="P64" s="10" t="n">
        <v>0.06</v>
      </c>
      <c r="Q64" s="9" t="n">
        <f aca="false">I64*P64</f>
        <v>0.1848</v>
      </c>
      <c r="R64" s="10" t="n">
        <v>0.1</v>
      </c>
      <c r="S64" s="9" t="n">
        <f aca="false">I64*R64</f>
        <v>0.308</v>
      </c>
      <c r="T64" s="10" t="n">
        <v>0.76</v>
      </c>
      <c r="U64" s="9" t="n">
        <f aca="false">I64*T64</f>
        <v>2.3408</v>
      </c>
      <c r="V64" s="10" t="n">
        <v>0</v>
      </c>
      <c r="W64" s="9" t="n">
        <f aca="false">I64*V64</f>
        <v>0</v>
      </c>
      <c r="X64" s="10" t="n">
        <v>0</v>
      </c>
      <c r="Y64" s="9" t="n">
        <f aca="false">I64*X64</f>
        <v>0</v>
      </c>
      <c r="Z64" s="11" t="s">
        <v>48</v>
      </c>
      <c r="AA64" s="12" t="s">
        <v>49</v>
      </c>
    </row>
    <row r="65" customFormat="false" ht="15" hidden="false" customHeight="false" outlineLevel="0" collapsed="false">
      <c r="A65" s="6" t="s">
        <v>121</v>
      </c>
      <c r="B65" s="6" t="s">
        <v>124</v>
      </c>
      <c r="C65" s="7" t="s">
        <v>90</v>
      </c>
      <c r="D65" s="8" t="n">
        <v>41280</v>
      </c>
      <c r="E65" s="9" t="n">
        <f aca="false">D65/2000</f>
        <v>20.64</v>
      </c>
      <c r="F65" s="8" t="n">
        <v>32540</v>
      </c>
      <c r="G65" s="9" t="n">
        <f aca="false">F65/2000</f>
        <v>16.27</v>
      </c>
      <c r="H65" s="8" t="n">
        <f aca="false">D65-F65</f>
        <v>8740</v>
      </c>
      <c r="I65" s="9" t="n">
        <f aca="false">H65/2000</f>
        <v>4.37</v>
      </c>
      <c r="J65" s="10" t="n">
        <f aca="false">L65+N65+P65+R65+T65+V65+X65</f>
        <v>0.64</v>
      </c>
      <c r="K65" s="9" t="n">
        <f aca="false">I65*J65</f>
        <v>2.7968</v>
      </c>
      <c r="L65" s="10" t="n">
        <v>0.34</v>
      </c>
      <c r="M65" s="9" t="n">
        <f aca="false">I65*L65</f>
        <v>1.4858</v>
      </c>
      <c r="N65" s="10" t="n">
        <v>0</v>
      </c>
      <c r="O65" s="9" t="n">
        <f aca="false">I65*N65</f>
        <v>0</v>
      </c>
      <c r="P65" s="10" t="n">
        <v>0</v>
      </c>
      <c r="Q65" s="9" t="n">
        <f aca="false">I65*P65</f>
        <v>0</v>
      </c>
      <c r="R65" s="10" t="n">
        <v>0.16</v>
      </c>
      <c r="S65" s="9" t="n">
        <f aca="false">I65*R65</f>
        <v>0.6992</v>
      </c>
      <c r="T65" s="10" t="n">
        <v>0.11</v>
      </c>
      <c r="U65" s="9" t="n">
        <f aca="false">I65*T65</f>
        <v>0.4807</v>
      </c>
      <c r="V65" s="10" t="n">
        <v>0.02</v>
      </c>
      <c r="W65" s="9" t="n">
        <f aca="false">I65*V65</f>
        <v>0.0874</v>
      </c>
      <c r="X65" s="10" t="n">
        <v>0.01</v>
      </c>
      <c r="Y65" s="9" t="n">
        <f aca="false">I65*X65</f>
        <v>0.0437</v>
      </c>
      <c r="Z65" s="13" t="s">
        <v>57</v>
      </c>
      <c r="AA65" s="12"/>
    </row>
    <row r="66" customFormat="false" ht="15" hidden="false" customHeight="false" outlineLevel="0" collapsed="false">
      <c r="A66" s="6" t="s">
        <v>121</v>
      </c>
      <c r="B66" s="6" t="s">
        <v>125</v>
      </c>
      <c r="C66" s="7" t="s">
        <v>51</v>
      </c>
      <c r="D66" s="8" t="n">
        <v>39030</v>
      </c>
      <c r="E66" s="9" t="n">
        <f aca="false">D66/2000</f>
        <v>19.515</v>
      </c>
      <c r="F66" s="8" t="n">
        <v>33200</v>
      </c>
      <c r="G66" s="9" t="n">
        <f aca="false">F66/2000</f>
        <v>16.6</v>
      </c>
      <c r="H66" s="8" t="n">
        <f aca="false">D66-F66</f>
        <v>5830</v>
      </c>
      <c r="I66" s="9" t="n">
        <f aca="false">H66/2000</f>
        <v>2.915</v>
      </c>
      <c r="J66" s="10" t="n">
        <f aca="false">L66+N66+P66+R66+T66+V66+X66</f>
        <v>1.09</v>
      </c>
      <c r="K66" s="9" t="n">
        <f aca="false">I66*J66</f>
        <v>3.17735</v>
      </c>
      <c r="L66" s="10" t="n">
        <v>0.12</v>
      </c>
      <c r="M66" s="9" t="n">
        <f aca="false">I66*L66</f>
        <v>0.3498</v>
      </c>
      <c r="N66" s="10" t="n">
        <v>0</v>
      </c>
      <c r="O66" s="9" t="n">
        <f aca="false">I66*N66</f>
        <v>0</v>
      </c>
      <c r="P66" s="10" t="n">
        <v>0.04</v>
      </c>
      <c r="Q66" s="9" t="n">
        <f aca="false">I66*P66</f>
        <v>0.1166</v>
      </c>
      <c r="R66" s="10" t="n">
        <v>0.07</v>
      </c>
      <c r="S66" s="9" t="n">
        <f aca="false">I66*R66</f>
        <v>0.20405</v>
      </c>
      <c r="T66" s="10" t="n">
        <v>0.86</v>
      </c>
      <c r="U66" s="9" t="n">
        <f aca="false">I66*T66</f>
        <v>2.5069</v>
      </c>
      <c r="V66" s="10" t="n">
        <v>0</v>
      </c>
      <c r="W66" s="9" t="n">
        <f aca="false">I66*V66</f>
        <v>0</v>
      </c>
      <c r="X66" s="10" t="n">
        <v>0</v>
      </c>
      <c r="Y66" s="9" t="n">
        <f aca="false">I66*X66</f>
        <v>0</v>
      </c>
      <c r="Z66" s="11" t="s">
        <v>48</v>
      </c>
      <c r="AA66" s="12" t="s">
        <v>49</v>
      </c>
    </row>
    <row r="67" customFormat="false" ht="15" hidden="false" customHeight="false" outlineLevel="0" collapsed="false">
      <c r="A67" s="14" t="s">
        <v>126</v>
      </c>
      <c r="D67" s="15" t="n">
        <f aca="false">SUM(D9:D66)</f>
        <v>2234720</v>
      </c>
      <c r="E67" s="16" t="n">
        <f aca="false">SUM(E9:E66)</f>
        <v>1117.36</v>
      </c>
      <c r="F67" s="15" t="n">
        <f aca="false">SUM(F9:F66)</f>
        <v>1911580</v>
      </c>
      <c r="G67" s="16" t="n">
        <f aca="false">SUM(G9:G66)</f>
        <v>955.79</v>
      </c>
      <c r="H67" s="15" t="n">
        <f aca="false">SUM(H9:H66)</f>
        <v>323140</v>
      </c>
      <c r="I67" s="16" t="n">
        <f aca="false">SUM(I9:I66)</f>
        <v>161.57</v>
      </c>
      <c r="J67" s="17" t="n">
        <f aca="false">K67/I67</f>
        <v>0.907126322955994</v>
      </c>
      <c r="K67" s="16" t="n">
        <f aca="false">SUM(K9:K66)</f>
        <v>146.5644</v>
      </c>
      <c r="M67" s="16" t="n">
        <f aca="false">SUM(M9:M66)</f>
        <v>19.81795</v>
      </c>
      <c r="O67" s="16" t="n">
        <f aca="false">SUM(O9:O66)</f>
        <v>0</v>
      </c>
      <c r="Q67" s="16" t="n">
        <f aca="false">SUM(Q9:Q66)</f>
        <v>6.04315</v>
      </c>
      <c r="S67" s="16" t="n">
        <f aca="false">SUM(S9:S66)</f>
        <v>17.07275</v>
      </c>
      <c r="U67" s="16" t="n">
        <f aca="false">SUM(U9:U66)</f>
        <v>102.68135</v>
      </c>
      <c r="W67" s="16" t="n">
        <f aca="false">SUM(W9:W66)</f>
        <v>0.6328</v>
      </c>
      <c r="Y67" s="16" t="n">
        <f aca="false">SUM(Y9:Y66)</f>
        <v>0.3164</v>
      </c>
    </row>
    <row r="69" customFormat="false" ht="15" hidden="false" customHeight="false" outlineLevel="0" collapsed="false">
      <c r="A69" s="18" t="s">
        <v>127</v>
      </c>
    </row>
    <row r="70" customFormat="false" ht="15" hidden="false" customHeight="false" outlineLevel="0" collapsed="false">
      <c r="A70" s="19" t="s">
        <v>128</v>
      </c>
      <c r="B70" s="20" t="n">
        <f aca="false">I67</f>
        <v>161.57</v>
      </c>
    </row>
    <row r="71" customFormat="false" ht="15" hidden="false" customHeight="false" outlineLevel="0" collapsed="false">
      <c r="A71" s="19" t="s">
        <v>129</v>
      </c>
      <c r="B71" s="20" t="n">
        <f aca="false">K67</f>
        <v>146.5644</v>
      </c>
    </row>
    <row r="72" customFormat="false" ht="15" hidden="false" customHeight="false" outlineLevel="0" collapsed="false">
      <c r="A72" s="19" t="s">
        <v>130</v>
      </c>
      <c r="B72" s="20" t="n">
        <f aca="false">I67-K67</f>
        <v>15.0056</v>
      </c>
    </row>
    <row r="73" customFormat="false" ht="15" hidden="false" customHeight="false" outlineLevel="0" collapsed="false">
      <c r="A73" s="19" t="s">
        <v>131</v>
      </c>
      <c r="B73" s="21" t="n">
        <f aca="false">K67/I67</f>
        <v>0.907126322955994</v>
      </c>
    </row>
    <row r="74" customFormat="false" ht="15" hidden="false" customHeight="false" outlineLevel="0" collapsed="false">
      <c r="A74" s="19" t="s">
        <v>132</v>
      </c>
      <c r="B74" s="22" t="n">
        <f aca="false">COUNTA(B9:B66)</f>
        <v>58</v>
      </c>
    </row>
    <row r="75" customFormat="false" ht="15" hidden="false" customHeight="false" outlineLevel="0" collapsed="false">
      <c r="A75" s="19" t="s">
        <v>133</v>
      </c>
      <c r="B75" s="22" t="n">
        <f aca="false">COUNTIF(AA9:AA66,"View Photo")</f>
        <v>48</v>
      </c>
      <c r="C75" s="23" t="n">
        <f aca="false">COUNTA(B9:B66)</f>
        <v>58</v>
      </c>
      <c r="D75" s="24" t="s">
        <v>134</v>
      </c>
    </row>
    <row r="78" customFormat="false" ht="15" hidden="false" customHeight="false" outlineLevel="0" collapsed="false">
      <c r="A78" s="18" t="s">
        <v>135</v>
      </c>
    </row>
    <row r="79" customFormat="false" ht="15" hidden="false" customHeight="false" outlineLevel="0" collapsed="false">
      <c r="A79" s="5" t="s">
        <v>20</v>
      </c>
      <c r="B79" s="5" t="s">
        <v>136</v>
      </c>
      <c r="C79" s="5" t="s">
        <v>137</v>
      </c>
      <c r="D79" s="5" t="s">
        <v>28</v>
      </c>
      <c r="E79" s="5" t="s">
        <v>130</v>
      </c>
      <c r="F79" s="5" t="s">
        <v>27</v>
      </c>
    </row>
    <row r="80" customFormat="false" ht="15" hidden="false" customHeight="false" outlineLevel="0" collapsed="false">
      <c r="A80" s="6" t="s">
        <v>138</v>
      </c>
      <c r="B80" s="25" t="n">
        <f aca="false">COUNTIF(C9:C66,"A")</f>
        <v>36</v>
      </c>
      <c r="C80" s="26" t="n">
        <f aca="false">SUMIF(C9:C66,"A",I9:I66)</f>
        <v>101.94</v>
      </c>
      <c r="D80" s="26" t="n">
        <f aca="false">SUMIF(C9:C66,"A",K9:K66)</f>
        <v>91.62505</v>
      </c>
      <c r="E80" s="26" t="n">
        <f aca="false">C80-D80</f>
        <v>10.31495</v>
      </c>
      <c r="F80" s="27" t="n">
        <f aca="false">IF(C80=0,0,D80/C80)</f>
        <v>0.898813517755543</v>
      </c>
    </row>
    <row r="81" customFormat="false" ht="15" hidden="false" customHeight="false" outlineLevel="0" collapsed="false">
      <c r="A81" s="6" t="s">
        <v>139</v>
      </c>
      <c r="B81" s="25" t="n">
        <f aca="false">COUNTIF(C9:C66,"B")</f>
        <v>7</v>
      </c>
      <c r="C81" s="26" t="n">
        <f aca="false">SUMIF(C9:C66,"B",I9:I66)</f>
        <v>15.535</v>
      </c>
      <c r="D81" s="26" t="n">
        <f aca="false">SUMIF(C9:C66,"B",K9:K66)</f>
        <v>14.7701</v>
      </c>
      <c r="E81" s="26" t="n">
        <f aca="false">C81-D81</f>
        <v>0.764899999999999</v>
      </c>
      <c r="F81" s="27" t="n">
        <f aca="false">IF(C81=0,0,D81/C81)</f>
        <v>0.950762793691664</v>
      </c>
    </row>
    <row r="82" customFormat="false" ht="15" hidden="false" customHeight="false" outlineLevel="0" collapsed="false">
      <c r="A82" s="6" t="s">
        <v>140</v>
      </c>
      <c r="B82" s="25" t="n">
        <f aca="false">COUNTIF(C9:C66,"C")</f>
        <v>4</v>
      </c>
      <c r="C82" s="26" t="n">
        <f aca="false">SUMIF(C9:C66,"C",I9:I66)</f>
        <v>14.735</v>
      </c>
      <c r="D82" s="26" t="n">
        <f aca="false">SUMIF(C9:C66,"C",K9:K66)</f>
        <v>13.2512</v>
      </c>
      <c r="E82" s="26" t="n">
        <f aca="false">C82-D82</f>
        <v>1.4838</v>
      </c>
      <c r="F82" s="27" t="n">
        <f aca="false">IF(C82=0,0,D82/C82)</f>
        <v>0.899300984051578</v>
      </c>
    </row>
    <row r="83" customFormat="false" ht="15" hidden="false" customHeight="false" outlineLevel="0" collapsed="false">
      <c r="A83" s="6" t="s">
        <v>141</v>
      </c>
      <c r="B83" s="25" t="n">
        <f aca="false">COUNTIF(C9:C66,"D")</f>
        <v>11</v>
      </c>
      <c r="C83" s="26" t="n">
        <f aca="false">SUMIF(C9:C66,"D",I9:I66)</f>
        <v>29.36</v>
      </c>
      <c r="D83" s="26" t="n">
        <f aca="false">SUMIF(C9:C66,"D",K9:K66)</f>
        <v>26.91805</v>
      </c>
      <c r="E83" s="26" t="n">
        <f aca="false">C83-D83</f>
        <v>2.44195</v>
      </c>
      <c r="F83" s="27" t="n">
        <f aca="false">IF(C83=0,0,D83/C83)</f>
        <v>0.916827316076294</v>
      </c>
    </row>
    <row r="85" customFormat="false" ht="15" hidden="false" customHeight="false" outlineLevel="0" collapsed="false">
      <c r="A85" s="24" t="s">
        <v>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2026-08-14T18:29:23Z</dcterms:created>
  <dc:creator>openpyxl</dc:creator>
  <dc:description/>
  <dc:language>en-US</dc:language>
  <cp:lastModifiedBy/>
  <dcterms:modified xsi:type="dcterms:W3CDTF">2026-08-14T18:29:23Z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